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4.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52557\Desktop\"/>
    </mc:Choice>
  </mc:AlternateContent>
  <xr:revisionPtr revIDLastSave="0" documentId="13_ncr:1_{46AB9DB7-C0CF-435C-88D1-A10CEC4B4750}" xr6:coauthVersionLast="47" xr6:coauthVersionMax="47" xr10:uidLastSave="{00000000-0000-0000-0000-000000000000}"/>
  <bookViews>
    <workbookView xWindow="-108" yWindow="-108" windowWidth="23256" windowHeight="12456" tabRatio="680" activeTab="5" xr2:uid="{00000000-000D-0000-FFFF-FFFF00000000}"/>
  </bookViews>
  <sheets>
    <sheet name="Bono1" sheetId="13" r:id="rId1"/>
    <sheet name="Bono2" sheetId="1" r:id="rId2"/>
    <sheet name="Bono3" sheetId="2" r:id="rId3"/>
    <sheet name="Bono4" sheetId="3" r:id="rId4"/>
    <sheet name="Bono5" sheetId="12" r:id="rId5"/>
    <sheet name="Bono6" sheetId="5" r:id="rId6"/>
    <sheet name="Bono7" sheetId="6" r:id="rId7"/>
    <sheet name="Bono8" sheetId="7" r:id="rId8"/>
    <sheet name="Bono9" sheetId="8" r:id="rId9"/>
    <sheet name="Bono10" sheetId="9" r:id="rId10"/>
    <sheet name="Bono11" sheetId="10" r:id="rId11"/>
    <sheet name="Bono12" sheetId="4" r:id="rId12"/>
    <sheet name="Bono13" sheetId="14" r:id="rId13"/>
    <sheet name="Bono14" sheetId="15" r:id="rId14"/>
    <sheet name="Bono15" sheetId="16" r:id="rId15"/>
  </sheets>
  <definedNames>
    <definedName name="_xlnm.Print_Area" localSheetId="0">Bono1!$A$1:$J$42</definedName>
    <definedName name="_xlnm.Print_Area" localSheetId="9">Bono10!$A$1:$J$35</definedName>
    <definedName name="_xlnm.Print_Area" localSheetId="10">Bono11!$A$1:$I$31</definedName>
    <definedName name="_xlnm.Print_Area" localSheetId="11">Bono12!$A$1:$I$33</definedName>
    <definedName name="_xlnm.Print_Area" localSheetId="12">Bono13!$A$1:$I$21</definedName>
    <definedName name="_xlnm.Print_Area" localSheetId="13">Bono14!$A$1:$M$46</definedName>
    <definedName name="_xlnm.Print_Area" localSheetId="14">Bono15!$A$1:$I$57</definedName>
    <definedName name="_xlnm.Print_Area" localSheetId="1">Bono2!$A$1:$J$36</definedName>
    <definedName name="_xlnm.Print_Area" localSheetId="2">Bono3!$A$1:$J$31</definedName>
    <definedName name="_xlnm.Print_Area" localSheetId="3">Bono4!$A$1:$I$26</definedName>
    <definedName name="_xlnm.Print_Area" localSheetId="4">Bono5!$A$1:$J$34</definedName>
    <definedName name="_xlnm.Print_Area" localSheetId="5">Bono6!$A$1:$I$28</definedName>
    <definedName name="_xlnm.Print_Area" localSheetId="6">Bono7!$A$1:$I$22</definedName>
    <definedName name="_xlnm.Print_Area" localSheetId="8">Bono9!$A$1:$L$34</definedName>
    <definedName name="solver_adj" localSheetId="0" hidden="1">Bono1!$G$38</definedName>
    <definedName name="solver_adj" localSheetId="9" hidden="1">Bono10!$I$33</definedName>
    <definedName name="solver_adj" localSheetId="10" hidden="1">Bono11!$D$28</definedName>
    <definedName name="solver_adj" localSheetId="13" hidden="1">Bono14!$M$16</definedName>
    <definedName name="solver_adj" localSheetId="8" hidden="1">Bono9!$C$19</definedName>
    <definedName name="solver_cvg" localSheetId="0" hidden="1">0.0000001</definedName>
    <definedName name="solver_cvg" localSheetId="9" hidden="1">0.0001</definedName>
    <definedName name="solver_cvg" localSheetId="10" hidden="1">0.0001</definedName>
    <definedName name="solver_cvg" localSheetId="13" hidden="1">0.0001</definedName>
    <definedName name="solver_cvg" localSheetId="8" hidden="1">0.0001</definedName>
    <definedName name="solver_drv" localSheetId="0" hidden="1">1</definedName>
    <definedName name="solver_drv" localSheetId="9" hidden="1">1</definedName>
    <definedName name="solver_drv" localSheetId="10" hidden="1">1</definedName>
    <definedName name="solver_drv" localSheetId="13" hidden="1">1</definedName>
    <definedName name="solver_drv" localSheetId="8" hidden="1">1</definedName>
    <definedName name="solver_est" localSheetId="0" hidden="1">1</definedName>
    <definedName name="solver_est" localSheetId="9" hidden="1">1</definedName>
    <definedName name="solver_est" localSheetId="10" hidden="1">1</definedName>
    <definedName name="solver_est" localSheetId="13" hidden="1">1</definedName>
    <definedName name="solver_est" localSheetId="8" hidden="1">1</definedName>
    <definedName name="solver_itr" localSheetId="0" hidden="1">100</definedName>
    <definedName name="solver_itr" localSheetId="9" hidden="1">100</definedName>
    <definedName name="solver_itr" localSheetId="10" hidden="1">100</definedName>
    <definedName name="solver_itr" localSheetId="13" hidden="1">100</definedName>
    <definedName name="solver_itr" localSheetId="8" hidden="1">100</definedName>
    <definedName name="solver_lin" localSheetId="0" hidden="1">2</definedName>
    <definedName name="solver_lin" localSheetId="9" hidden="1">2</definedName>
    <definedName name="solver_lin" localSheetId="10" hidden="1">2</definedName>
    <definedName name="solver_lin" localSheetId="13" hidden="1">2</definedName>
    <definedName name="solver_lin" localSheetId="8" hidden="1">2</definedName>
    <definedName name="solver_neg" localSheetId="0" hidden="1">2</definedName>
    <definedName name="solver_neg" localSheetId="9" hidden="1">2</definedName>
    <definedName name="solver_neg" localSheetId="10" hidden="1">2</definedName>
    <definedName name="solver_neg" localSheetId="13" hidden="1">2</definedName>
    <definedName name="solver_neg" localSheetId="8" hidden="1">2</definedName>
    <definedName name="solver_num" localSheetId="0" hidden="1">0</definedName>
    <definedName name="solver_num" localSheetId="9" hidden="1">0</definedName>
    <definedName name="solver_num" localSheetId="10" hidden="1">0</definedName>
    <definedName name="solver_num" localSheetId="13" hidden="1">0</definedName>
    <definedName name="solver_num" localSheetId="8" hidden="1">0</definedName>
    <definedName name="solver_nwt" localSheetId="0" hidden="1">1</definedName>
    <definedName name="solver_nwt" localSheetId="9" hidden="1">1</definedName>
    <definedName name="solver_nwt" localSheetId="10" hidden="1">1</definedName>
    <definedName name="solver_nwt" localSheetId="13" hidden="1">1</definedName>
    <definedName name="solver_nwt" localSheetId="8" hidden="1">1</definedName>
    <definedName name="solver_opt" localSheetId="0" hidden="1">Bono1!$J$40</definedName>
    <definedName name="solver_opt" localSheetId="9" hidden="1">Bono10!$I$32</definedName>
    <definedName name="solver_opt" localSheetId="10" hidden="1">Bono11!$D$31</definedName>
    <definedName name="solver_opt" localSheetId="13" hidden="1">Bono14!$M$15</definedName>
    <definedName name="solver_opt" localSheetId="8" hidden="1">Bono9!$J$18</definedName>
    <definedName name="solver_pre" localSheetId="0" hidden="1">0.0000000001</definedName>
    <definedName name="solver_pre" localSheetId="9" hidden="1">0.000001</definedName>
    <definedName name="solver_pre" localSheetId="10" hidden="1">0.000001</definedName>
    <definedName name="solver_pre" localSheetId="13" hidden="1">0.000001</definedName>
    <definedName name="solver_pre" localSheetId="8" hidden="1">0.000001</definedName>
    <definedName name="solver_scl" localSheetId="0" hidden="1">2</definedName>
    <definedName name="solver_scl" localSheetId="9" hidden="1">2</definedName>
    <definedName name="solver_scl" localSheetId="10" hidden="1">2</definedName>
    <definedName name="solver_scl" localSheetId="13" hidden="1">2</definedName>
    <definedName name="solver_scl" localSheetId="8" hidden="1">2</definedName>
    <definedName name="solver_sho" localSheetId="0" hidden="1">2</definedName>
    <definedName name="solver_sho" localSheetId="9" hidden="1">2</definedName>
    <definedName name="solver_sho" localSheetId="10" hidden="1">2</definedName>
    <definedName name="solver_sho" localSheetId="13" hidden="1">2</definedName>
    <definedName name="solver_sho" localSheetId="8" hidden="1">2</definedName>
    <definedName name="solver_tim" localSheetId="0" hidden="1">100</definedName>
    <definedName name="solver_tim" localSheetId="9" hidden="1">100</definedName>
    <definedName name="solver_tim" localSheetId="10" hidden="1">100</definedName>
    <definedName name="solver_tim" localSheetId="13" hidden="1">100</definedName>
    <definedName name="solver_tim" localSheetId="8" hidden="1">100</definedName>
    <definedName name="solver_tol" localSheetId="0" hidden="1">0.01</definedName>
    <definedName name="solver_tol" localSheetId="9" hidden="1">0.05</definedName>
    <definedName name="solver_tol" localSheetId="10" hidden="1">0.05</definedName>
    <definedName name="solver_tol" localSheetId="13" hidden="1">0.05</definedName>
    <definedName name="solver_tol" localSheetId="8" hidden="1">0.05</definedName>
    <definedName name="solver_typ" localSheetId="0" hidden="1">3</definedName>
    <definedName name="solver_typ" localSheetId="9" hidden="1">3</definedName>
    <definedName name="solver_typ" localSheetId="10" hidden="1">3</definedName>
    <definedName name="solver_typ" localSheetId="13" hidden="1">3</definedName>
    <definedName name="solver_typ" localSheetId="8" hidden="1">3</definedName>
    <definedName name="solver_val" localSheetId="0" hidden="1">0</definedName>
    <definedName name="solver_val" localSheetId="9" hidden="1">1175.7</definedName>
    <definedName name="solver_val" localSheetId="10" hidden="1">0.05</definedName>
    <definedName name="solver_val" localSheetId="13" hidden="1">1026</definedName>
    <definedName name="solver_val" localSheetId="8" hidden="1">0.04</definedName>
  </definedNames>
  <calcPr calcId="191029" concurrentCalc="0" concurrentManualCount="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3" l="1"/>
  <c r="G23" i="13"/>
  <c r="G18" i="13"/>
  <c r="D32" i="13"/>
  <c r="I28" i="13"/>
  <c r="I37" i="13"/>
  <c r="D41" i="13"/>
  <c r="G41" i="13"/>
  <c r="G39" i="13"/>
  <c r="G40" i="13"/>
  <c r="J39" i="13"/>
  <c r="J40" i="13"/>
  <c r="G22" i="13"/>
  <c r="B2" i="1"/>
  <c r="B2" i="2"/>
  <c r="B2" i="3"/>
  <c r="B2" i="12"/>
  <c r="B2" i="5"/>
  <c r="B2" i="6"/>
  <c r="B2" i="7"/>
  <c r="B2" i="8"/>
  <c r="B2" i="9"/>
  <c r="B2" i="10"/>
  <c r="B2" i="4"/>
  <c r="B2" i="15"/>
  <c r="B2" i="16"/>
  <c r="B2" i="14"/>
  <c r="B2" i="13"/>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J14" i="15"/>
  <c r="J16" i="15"/>
  <c r="M15" i="15"/>
  <c r="F21" i="14"/>
  <c r="F13" i="14"/>
  <c r="I19" i="14"/>
  <c r="C21" i="14"/>
  <c r="C20" i="14"/>
  <c r="C19" i="14"/>
  <c r="C18" i="14"/>
  <c r="C17" i="14"/>
  <c r="C16" i="14"/>
  <c r="C15" i="14"/>
  <c r="C14" i="14"/>
  <c r="I18" i="14"/>
  <c r="I17" i="14"/>
  <c r="G29" i="16"/>
  <c r="C33" i="16"/>
  <c r="C35" i="16"/>
  <c r="E34" i="16"/>
  <c r="D54" i="16"/>
  <c r="D55" i="16"/>
  <c r="F41" i="16"/>
  <c r="F44" i="16"/>
  <c r="D56" i="16"/>
  <c r="D57" i="16"/>
  <c r="C46" i="16"/>
  <c r="C45" i="16"/>
  <c r="C44" i="16"/>
  <c r="C43" i="16"/>
  <c r="C42" i="16"/>
  <c r="C40" i="16"/>
  <c r="F26" i="16"/>
  <c r="E12" i="10"/>
  <c r="C21" i="10"/>
  <c r="C22" i="10"/>
  <c r="C27" i="10"/>
  <c r="D27" i="10"/>
  <c r="B26" i="10"/>
  <c r="B27" i="10"/>
  <c r="B28" i="10"/>
  <c r="C26" i="10"/>
  <c r="D26" i="10"/>
  <c r="C18" i="9"/>
  <c r="I22" i="9"/>
  <c r="C19" i="9"/>
  <c r="I28" i="9"/>
  <c r="I32" i="9"/>
  <c r="I35" i="9"/>
  <c r="I24" i="9"/>
  <c r="I29" i="9"/>
  <c r="F25" i="9"/>
  <c r="F26" i="9"/>
  <c r="F27" i="9"/>
  <c r="F28" i="9"/>
  <c r="F29" i="9"/>
  <c r="F30" i="9"/>
  <c r="F24" i="9"/>
  <c r="F23" i="9"/>
  <c r="C35" i="9"/>
  <c r="C25" i="9"/>
  <c r="C26" i="9"/>
  <c r="C27" i="9"/>
  <c r="C28" i="9"/>
  <c r="C29" i="9"/>
  <c r="C30" i="9"/>
  <c r="C31" i="9"/>
  <c r="C24" i="9"/>
  <c r="C33" i="8"/>
  <c r="E12" i="8"/>
  <c r="D24" i="8"/>
  <c r="D25" i="8"/>
  <c r="D26" i="8"/>
  <c r="E26" i="8"/>
  <c r="D27" i="8"/>
  <c r="E24" i="8"/>
  <c r="E27" i="8"/>
  <c r="D23" i="8"/>
  <c r="C23" i="8"/>
  <c r="C16" i="7"/>
  <c r="G22" i="7"/>
  <c r="D40" i="7"/>
  <c r="D25" i="7"/>
  <c r="D28" i="7"/>
  <c r="D29" i="7"/>
  <c r="D32" i="7"/>
  <c r="D33" i="7"/>
  <c r="D36" i="7"/>
  <c r="D22" i="7"/>
  <c r="D21" i="7"/>
  <c r="C16" i="6"/>
  <c r="C22" i="6"/>
  <c r="E12" i="6"/>
  <c r="C16" i="5"/>
  <c r="C18" i="5"/>
  <c r="C28" i="5"/>
  <c r="C21" i="5"/>
  <c r="C25" i="5"/>
  <c r="D18" i="5"/>
  <c r="C10" i="12"/>
  <c r="C14" i="12"/>
  <c r="C20" i="12"/>
  <c r="C26" i="12"/>
  <c r="C28" i="12"/>
  <c r="C34" i="12"/>
  <c r="C21" i="4"/>
  <c r="C23" i="4"/>
  <c r="C31" i="4"/>
  <c r="B30" i="4"/>
  <c r="H19" i="4"/>
  <c r="H18" i="4"/>
  <c r="C32" i="4"/>
  <c r="C33" i="4"/>
  <c r="C19" i="3"/>
  <c r="C16" i="3"/>
  <c r="G19" i="3"/>
  <c r="C22" i="3"/>
  <c r="C23" i="3"/>
  <c r="C24" i="3"/>
  <c r="C25" i="3"/>
  <c r="C26" i="3"/>
  <c r="D16" i="2"/>
  <c r="D16" i="1"/>
  <c r="D16" i="3"/>
  <c r="C21" i="2"/>
  <c r="C16" i="2"/>
  <c r="C22" i="2"/>
  <c r="C23" i="2"/>
  <c r="C24" i="2"/>
  <c r="C25" i="2"/>
  <c r="C26" i="2"/>
  <c r="C27" i="2"/>
  <c r="C28" i="2"/>
  <c r="C29" i="2"/>
  <c r="C30" i="2"/>
  <c r="C31" i="2"/>
  <c r="F29" i="2"/>
  <c r="F30" i="2"/>
  <c r="E12" i="2"/>
  <c r="F24" i="2"/>
  <c r="F25" i="2"/>
  <c r="C21" i="1"/>
  <c r="C16" i="1"/>
  <c r="C24" i="1"/>
  <c r="C22" i="1"/>
  <c r="C23" i="1"/>
  <c r="C25" i="1"/>
  <c r="C26" i="1"/>
  <c r="F28" i="1"/>
  <c r="E12" i="1"/>
  <c r="F24" i="1"/>
  <c r="E25" i="8"/>
  <c r="J17" i="8"/>
  <c r="K17" i="8"/>
  <c r="J18" i="8"/>
  <c r="G23" i="3"/>
  <c r="G12" i="3"/>
  <c r="C26" i="5"/>
  <c r="C27" i="5"/>
  <c r="G24" i="5"/>
  <c r="G26" i="5"/>
  <c r="E12" i="5"/>
  <c r="I23" i="9"/>
  <c r="I27" i="9"/>
  <c r="H20" i="4"/>
  <c r="H22" i="4"/>
  <c r="C22" i="12"/>
  <c r="C30" i="12"/>
  <c r="C24" i="12"/>
  <c r="C32" i="12"/>
  <c r="G20" i="7"/>
  <c r="E12" i="7"/>
  <c r="D26" i="7"/>
  <c r="D30" i="7"/>
  <c r="D34" i="7"/>
  <c r="D23" i="7"/>
  <c r="D27" i="7"/>
  <c r="D31" i="7"/>
  <c r="D35" i="7"/>
  <c r="D24" i="7"/>
  <c r="I25" i="9"/>
  <c r="I26" i="9"/>
  <c r="I30" i="9"/>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G16" i="15"/>
  <c r="G15" i="15"/>
  <c r="G16" i="13"/>
  <c r="G17" i="13"/>
  <c r="D31" i="13"/>
  <c r="D30" i="13"/>
  <c r="I15" i="13"/>
  <c r="E12" i="9"/>
  <c r="G9" i="12"/>
  <c r="H24" i="4"/>
  <c r="E14" i="4"/>
  <c r="E13" i="4"/>
  <c r="C30" i="4"/>
  <c r="H26" i="4"/>
  <c r="E12" i="4"/>
  <c r="D3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Adolfo Aparicio</author>
    <author>Fin</author>
  </authors>
  <commentList>
    <comment ref="G23" authorId="0" shapeId="0" xr:uid="{00000000-0006-0000-0000-000001000000}">
      <text>
        <r>
          <rPr>
            <sz val="8"/>
            <color indexed="81"/>
            <rFont val="Tahoma"/>
            <family val="2"/>
          </rPr>
          <t>=VA(D17;D16;-D18;-D15;0)</t>
        </r>
      </text>
    </comment>
    <comment ref="I28" authorId="1" shapeId="0" xr:uid="{00000000-0006-0000-0000-000002000000}">
      <text>
        <r>
          <rPr>
            <sz val="8"/>
            <color indexed="81"/>
            <rFont val="Tahoma"/>
            <family val="2"/>
          </rPr>
          <t>Usando la fórmula PRECIO que necesita fechas.
Vea la ayuda sobre esta función.
=PRECIO(C29;C32;G29;G28;100;1;4)</t>
        </r>
      </text>
    </comment>
    <comment ref="J40" authorId="0" shapeId="0" xr:uid="{00000000-0006-0000-0000-000003000000}">
      <text>
        <r>
          <rPr>
            <b/>
            <sz val="8"/>
            <color indexed="81"/>
            <rFont val="Tahoma"/>
            <family val="2"/>
          </rPr>
          <t>Solver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C15" authorId="0" shapeId="0" xr:uid="{00000000-0006-0000-0100-000001000000}">
      <text>
        <r>
          <rPr>
            <sz val="8"/>
            <color indexed="81"/>
            <rFont val="Tahoma"/>
            <family val="2"/>
          </rPr>
          <t>Cuando no se conoce el nominal se supone que es de 100 €. Esto no influye en el cálculo de la TIR. Se obtendría la misma TIR suponiendo cualquier otro nominal. Y tiene la ventaja de que el precio se puede interpretar como un porcentaje sobre el nominal.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C15" authorId="0" shapeId="0" xr:uid="{00000000-0006-0000-0400-000001000000}">
      <text>
        <r>
          <rPr>
            <sz val="8"/>
            <color indexed="81"/>
            <rFont val="Tahoma"/>
            <family val="2"/>
          </rPr>
          <t>El enunciado no da el nominal. Supondremos que es de 100 €, así el precio se podrá interpretar como un porcentaje del nominal.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G20" authorId="0" shapeId="0" xr:uid="{00000000-0006-0000-0700-000001000000}">
      <text>
        <r>
          <rPr>
            <sz val="8"/>
            <color indexed="81"/>
            <rFont val="Tahoma"/>
            <family val="2"/>
          </rPr>
          <t>El Valor Actual de una renta perpétua constante es C/i. Y además es prepagable por lo que se ha de multiplicar por (1+i)</t>
        </r>
      </text>
    </comment>
    <comment ref="G22" authorId="0" shapeId="0" xr:uid="{00000000-0006-0000-0700-000002000000}">
      <text>
        <r>
          <rPr>
            <sz val="8"/>
            <color indexed="81"/>
            <rFont val="Tahoma"/>
            <family val="2"/>
          </rPr>
          <t>La Función VA calcula el Valor Actual. Al poner 1000 años el valor se aproxima al de una perpétua. Además se indica al final que los pagos son pre.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J17" authorId="0" shapeId="0" xr:uid="{00000000-0006-0000-0800-000001000000}">
      <text>
        <r>
          <rPr>
            <sz val="8"/>
            <color indexed="81"/>
            <rFont val="Tahoma"/>
            <family val="2"/>
          </rPr>
          <t>El saldo en c/c es el Valor Final de los flujos de caja que paga el bono capitalizados al tipo de la c/c.</t>
        </r>
      </text>
    </comment>
    <comment ref="K17" authorId="0" shapeId="0" xr:uid="{00000000-0006-0000-0800-000002000000}">
      <text>
        <r>
          <rPr>
            <sz val="8"/>
            <color indexed="81"/>
            <rFont val="Tahoma"/>
            <family val="2"/>
          </rPr>
          <t>Otra forma de calcular el VF es calcular el VAN y luego capitalizar hasta el final.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D17" authorId="0" shapeId="0" xr:uid="{00000000-0006-0000-0900-000001000000}">
      <text>
        <r>
          <rPr>
            <sz val="8"/>
            <color indexed="81"/>
            <rFont val="Tahoma"/>
            <family val="2"/>
          </rPr>
          <t>La TIR salvo que se indique lo contrario siempre es un tanto efectivo anual.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D31" authorId="0" shapeId="0" xr:uid="{00000000-0006-0000-0A00-000001000000}">
      <text>
        <r>
          <rPr>
            <sz val="8"/>
            <color indexed="81"/>
            <rFont val="Tahoma"/>
            <family val="2"/>
          </rPr>
          <t>Resuelto con Solver porque al resolverlo con 'Buscar Objetivo' no se alcanzaba la precisión necesaria.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H26" authorId="0" shapeId="0" xr:uid="{00000000-0006-0000-0B00-000001000000}">
      <text>
        <r>
          <rPr>
            <sz val="8"/>
            <color indexed="81"/>
            <rFont val="Tahoma"/>
            <family val="2"/>
          </rPr>
          <t>La fórmula TIR.NO.PER da la TIR siempre ANUAL. Por el contrario, la fórmula TIR da la TIR referida al periodo utilizado. Si se trabaja con periodicidad mensual dará una TIR mensual, que luego tendremos que anualizar.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L13" authorId="0" shapeId="0" xr:uid="{00000000-0006-0000-0D00-000001000000}">
      <text>
        <r>
          <rPr>
            <sz val="8"/>
            <color indexed="81"/>
            <rFont val="Tahoma"/>
            <family val="2"/>
          </rPr>
          <t>Resuelto con Solver</t>
        </r>
      </text>
    </comment>
    <comment ref="J15" authorId="0" shapeId="0" xr:uid="{00000000-0006-0000-0D00-000002000000}">
      <text>
        <r>
          <rPr>
            <sz val="8"/>
            <color indexed="81"/>
            <rFont val="Tahoma"/>
            <family val="2"/>
          </rPr>
          <t xml:space="preserve">Resuelto con </t>
        </r>
        <r>
          <rPr>
            <b/>
            <sz val="8"/>
            <color indexed="81"/>
            <rFont val="Tahoma"/>
            <family val="2"/>
          </rPr>
          <t xml:space="preserve">Buscar Objetivo
</t>
        </r>
        <r>
          <rPr>
            <sz val="8"/>
            <color indexed="81"/>
            <rFont val="Tahoma"/>
            <family val="2"/>
          </rPr>
          <t>Definir la celda J14,
con el valor 0,
para cambiar la celda J13.</t>
        </r>
      </text>
    </comment>
    <comment ref="D32" authorId="0" shapeId="0" xr:uid="{00000000-0006-0000-0D00-000003000000}">
      <text>
        <r>
          <rPr>
            <sz val="8"/>
            <color indexed="81"/>
            <rFont val="Tahoma"/>
            <family val="2"/>
          </rPr>
          <t xml:space="preserve">Esta columna calcula la TIR de una operación que cada vez tiene un periodo más. Así se puede ver la tendencia de la TIR y hacer el gráfico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Fin</author>
  </authors>
  <commentList>
    <comment ref="C35" authorId="0" shapeId="0" xr:uid="{00000000-0006-0000-0E00-000001000000}">
      <text>
        <r>
          <rPr>
            <sz val="8"/>
            <color indexed="81"/>
            <rFont val="Tahoma"/>
            <family val="2"/>
          </rPr>
          <t>El capital destinado a la inversión A es un 30% menor que el destinado a la inversión B</t>
        </r>
        <r>
          <rPr>
            <sz val="8"/>
            <color indexed="81"/>
            <rFont val="Tahoma"/>
            <family val="2"/>
          </rPr>
          <t xml:space="preserve">
</t>
        </r>
      </text>
    </comment>
  </commentList>
</comments>
</file>

<file path=xl/sharedStrings.xml><?xml version="1.0" encoding="utf-8"?>
<sst xmlns="http://schemas.openxmlformats.org/spreadsheetml/2006/main" count="338" uniqueCount="157">
  <si>
    <t>Solución</t>
  </si>
  <si>
    <t>Año</t>
  </si>
  <si>
    <t>Flujo Caja</t>
  </si>
  <si>
    <t>Nominal</t>
  </si>
  <si>
    <t>Cupón</t>
  </si>
  <si>
    <t>Cupón %</t>
  </si>
  <si>
    <t>anual</t>
  </si>
  <si>
    <t>Calcular la rentabilidad de un bono a 5 años, cupón 10% anual que se adquiere por el nominal.</t>
  </si>
  <si>
    <t>TIR</t>
  </si>
  <si>
    <t>También se puede calcular la TIR acudiendo la la fórmula TIR de Excel.</t>
  </si>
  <si>
    <t>Calcular la rentabilidad de un bono a 5 años, cupón del 5% semestral que se adquiere por el nominal.</t>
  </si>
  <si>
    <t>semestral</t>
  </si>
  <si>
    <t>Semestre</t>
  </si>
  <si>
    <t>TIR semestral</t>
  </si>
  <si>
    <t>efectivo anual</t>
  </si>
  <si>
    <t>En el mercado secundario cotiza un bono al 102% sobre el nominal que es de 1.000 €, paga un cupón del 6% anual venciendo el primero de ellos dentro de un año. El bono madura a los 4 años y paga una prima de amortización de 20 €. Calcular la TIR.</t>
  </si>
  <si>
    <t>Prima Amort.</t>
  </si>
  <si>
    <t>Precio %</t>
  </si>
  <si>
    <t>Precio</t>
  </si>
  <si>
    <t>Flujos Caja</t>
  </si>
  <si>
    <t>También se puede calcular la TIR usando la fórmula de Excel</t>
  </si>
  <si>
    <t>Se adquiere el 17 de octubre de 2004 un Bono del Estado que cotiza a un precio excupón del 105,874% (1058,74 €). Cupón del 4,3% pagadero el 15 de junio de cada año, y con vencimiento el 15 de junio de 2007. Calcule el cupón corrido, el precio de adquisición del bono y su TIR.</t>
  </si>
  <si>
    <t>Fecha adquisición</t>
  </si>
  <si>
    <t>Pex</t>
  </si>
  <si>
    <t>Pex %</t>
  </si>
  <si>
    <t>Pago cupón</t>
  </si>
  <si>
    <t>Vencimiento</t>
  </si>
  <si>
    <t>Fecha</t>
  </si>
  <si>
    <t>Nº de días desde el último cupón</t>
  </si>
  <si>
    <t>Nº de días del periodo de cupón</t>
  </si>
  <si>
    <t>Total días del periodo entre cupones</t>
  </si>
  <si>
    <t>Cupón Corrido</t>
  </si>
  <si>
    <t>Precio=Pex+Cc</t>
  </si>
  <si>
    <t>Flujos caja</t>
  </si>
  <si>
    <t>Determinar el precio de adquisición de un bono en el mercado secundario que cotiza al 3,4% efectivo anual y al que restan para su amortización 3 años y 9 meses. El cupón es del 1,5% semestral.</t>
  </si>
  <si>
    <t>Trimestre</t>
  </si>
  <si>
    <t>TIR trimestral</t>
  </si>
  <si>
    <t>efectivo trimestral</t>
  </si>
  <si>
    <t>Tiempo</t>
  </si>
  <si>
    <t>3 años y 9 meses</t>
  </si>
  <si>
    <t>Trimestres</t>
  </si>
  <si>
    <t>semestrales</t>
  </si>
  <si>
    <t>- P</t>
  </si>
  <si>
    <t>El precio del bono es el Valor Actual de los Flujos de Caja que promete el bono a futuro, descontados a su TIR.</t>
  </si>
  <si>
    <t>Ha sido necesario trabajar con perodicidad trimestral porque el tiempo más pequeño entre dos fluos de caja es el trimestre. Concretamente, el tiempo entre la adquisición y el cobro del primer cupón. Además para que el VAN funcione es imprescindible poner flujo de caja cero en los trimestres donde no se paga cupón. Si esas celdas se dejan vacias la formula no funciona bien.</t>
  </si>
  <si>
    <t>nominal anual</t>
  </si>
  <si>
    <t>Cupón nominal %</t>
  </si>
  <si>
    <t>efectivo semestral</t>
  </si>
  <si>
    <t>Se puede adquirir un bono en el mercado secundario por P €. Su nominal es N € y vence dentro de 3 años y 2 meses. El bono proporciona un cupón semestral del 8% nominal anual. El primer cupón por importe de 50 € se cobrará dentro de p meses. Calcular N.</t>
  </si>
  <si>
    <t>Cupón semestral %</t>
  </si>
  <si>
    <t>m</t>
  </si>
  <si>
    <t>numero de subperiodos contenidos en el periodo</t>
  </si>
  <si>
    <t>Cupón (€) = Cupón (%) x Nominal</t>
  </si>
  <si>
    <t>Determinar el precio de mercado de un bono de deuda perpétua con cupón anual del 3%, TIR del 10%, nominal de 1.000 € y sabiendo que hoy cobrará el cupón.</t>
  </si>
  <si>
    <t>Prestación</t>
  </si>
  <si>
    <t>Contraprestación</t>
  </si>
  <si>
    <t>:</t>
  </si>
  <si>
    <t>∞</t>
  </si>
  <si>
    <t>anuales</t>
  </si>
  <si>
    <t>El precio de un bono es el valor actual de los flujos de caja futuros descontados a su TIR.</t>
  </si>
  <si>
    <t>años</t>
  </si>
  <si>
    <t>C/C</t>
  </si>
  <si>
    <t>Rentabilidad inversor</t>
  </si>
  <si>
    <t>C</t>
  </si>
  <si>
    <t>1000+C</t>
  </si>
  <si>
    <t>V.F. C/C</t>
  </si>
  <si>
    <t>Saldo en C/C</t>
  </si>
  <si>
    <t>Rentabilidad del inversor</t>
  </si>
  <si>
    <t>Otra forma de resolverlo es plantear la ecuación, despejarla y efectuar los cálculos con la ayuda de Excel</t>
  </si>
  <si>
    <t>Perpétua</t>
  </si>
  <si>
    <t>Valor Actual de la Renta Perpétua en t=1 semestres</t>
  </si>
  <si>
    <t>efectivo mensual</t>
  </si>
  <si>
    <t>TIR mensual</t>
  </si>
  <si>
    <t>Meses</t>
  </si>
  <si>
    <r>
      <t xml:space="preserve">Otra forma de resolverlo con </t>
    </r>
    <r>
      <rPr>
        <b/>
        <sz val="10"/>
        <color indexed="10"/>
        <rFont val="Arial"/>
        <family val="2"/>
      </rPr>
      <t>Buscar Objetivo</t>
    </r>
  </si>
  <si>
    <t>Doña Isabel adquiere un bono de deuda pertétua en el mercado secundario por 1.349,89 €. El bono paga un cupón semestral de 20 €. La TIR del bono en el momento de la compra es del 3%. Calcular cuantos meses transcurren desde la compra hasta el cobro del primer cupón.</t>
  </si>
  <si>
    <t>Fecha Compra</t>
  </si>
  <si>
    <t>Fecha cobro 1er cupón</t>
  </si>
  <si>
    <t>Fecha Venta</t>
  </si>
  <si>
    <t>Rentabilidad obtenida %</t>
  </si>
  <si>
    <t>Cupón semestral</t>
  </si>
  <si>
    <t>Cupón semestral nominal</t>
  </si>
  <si>
    <t>+P</t>
  </si>
  <si>
    <t>Flujos de Caja</t>
  </si>
  <si>
    <t>Precio de Venta</t>
  </si>
  <si>
    <t xml:space="preserve"> Se compra un bono de nominal 1.000 € en el mercado secundario el 1 de julio de 2004 por 922 €. El cupón semestral es del 5% nominal anual y el próximo pago se efectuará el 1 de enero de 2005. Se vende el bono el 1 de mayo de 2005 por un precio P, obteniéndose una rentabilidad del 5% efectivo anual. Calcular P.</t>
  </si>
  <si>
    <r>
      <t xml:space="preserve">Por ser un </t>
    </r>
    <r>
      <rPr>
        <b/>
        <i/>
        <sz val="10"/>
        <rFont val="Arial"/>
        <family val="2"/>
      </rPr>
      <t>bono estandar</t>
    </r>
    <r>
      <rPr>
        <sz val="10"/>
        <rFont val="Arial"/>
        <family val="2"/>
      </rPr>
      <t xml:space="preserve"> la TIR se puede calcular simplemente dividiendo el cupón entre el nominal. O bien diciendo que la TIR coincide con el Cupón expresado en porcentaje.</t>
    </r>
  </si>
  <si>
    <r>
      <t xml:space="preserve">Por ser un </t>
    </r>
    <r>
      <rPr>
        <b/>
        <i/>
        <sz val="10"/>
        <rFont val="Arial"/>
        <family val="2"/>
      </rPr>
      <t xml:space="preserve">bono estandar </t>
    </r>
    <r>
      <rPr>
        <sz val="10"/>
        <rFont val="Arial"/>
        <family val="2"/>
      </rPr>
      <t>la TIR se puede calcular simplemente dividiendo el cupón entre el nominal. O bien diciendo que la TIR coincide con el Cupón expresado en porcentaje. Pero en este caso al ser semestrales los flujos, la TIR es semestral. Finalmente hemos de anualizarla.</t>
    </r>
  </si>
  <si>
    <r>
      <t xml:space="preserve">Este bono </t>
    </r>
    <r>
      <rPr>
        <b/>
        <i/>
        <sz val="10"/>
        <rFont val="Arial"/>
        <family val="2"/>
      </rPr>
      <t>no es un bono estandar</t>
    </r>
    <r>
      <rPr>
        <sz val="10"/>
        <rFont val="Arial"/>
        <family val="2"/>
      </rPr>
      <t>, pero como coincide el precio de adquisición con el de amortización más la prima (1.020 €) se puede calcular la TIR como si de un bono estandar se tratara. Esto es, dividiendo el cupón entre el precio de adquisición.</t>
    </r>
  </si>
  <si>
    <t>Un inversor adquiere un bono en el mercado secundario por el nomial. El bono paga un cupón semestral del 6% nominal anual, venciendo el próximo dentro de 6 meses, y se amortiza dentro de 18 meses, con una prima de amortización de 10 €. El nominal del bono es de 1.000 €. Calcular la rentabilidad del bono.</t>
  </si>
  <si>
    <t>Bonos.xls</t>
  </si>
  <si>
    <t>Se adquiere por el nominal</t>
  </si>
  <si>
    <t>Se amortiza por el nominal (no existe prima de amortización)</t>
  </si>
  <si>
    <t>La periodicidad de cobro de cupón es constante.</t>
  </si>
  <si>
    <t>Un bono estandar se puede interpretar como un préstamo americano. Por ello, se puede calcular el tipo de interés que paga sin más que dividir el cupón entre el nominal. Esto es, cupón (en %) y TIR coinciden.</t>
  </si>
  <si>
    <r>
      <t xml:space="preserve">Un </t>
    </r>
    <r>
      <rPr>
        <b/>
        <sz val="10"/>
        <color indexed="12"/>
        <rFont val="Arial"/>
        <family val="2"/>
      </rPr>
      <t>bono estandar</t>
    </r>
    <r>
      <rPr>
        <sz val="10"/>
        <rFont val="Arial"/>
        <family val="2"/>
      </rPr>
      <t xml:space="preserve"> es aquel que cumple las siguientes condiciones:</t>
    </r>
  </si>
  <si>
    <t>&lt;-- Método 1</t>
  </si>
  <si>
    <t>&lt;-- Método 2</t>
  </si>
  <si>
    <t>Sabemos que el tiempo entre la adquisición y el cobro del primer cupón es de un trimestre ya que la amortización del bono coincide con el pago del último cupón, y contando los periodos hacia atrás en el tiempo llegamos a la conclusión de que el bono se adquiere en t=1/2 semestres.</t>
  </si>
  <si>
    <t>Don Andrés adquiere un bono en el mercado primario por 970 €. El bono es de 1.000 € nominales y proporciona un cupón de C € durante 4 años, amortizándose por el nominal. Todos los cupones se ingresan en una cuenta corriente bancaria que proporciona una rentabilidad del 2% efectivo anual. Si Don Andrés obtiene una rentabilidad del 4% efectivo anual durante los 4 años por sus 970 €, determinar el importe del cupón.</t>
  </si>
  <si>
    <t>Calcular el Precio de adquisición de un Bono de cupón anual 5% amortizable por el nominal a los 3 años y cuya TIR es del 3%.</t>
  </si>
  <si>
    <t>Método 1</t>
  </si>
  <si>
    <t>-P</t>
  </si>
  <si>
    <t>Método 2</t>
  </si>
  <si>
    <t>Método 3</t>
  </si>
  <si>
    <t>Bono perpétuo</t>
  </si>
  <si>
    <t>Calcular la TIR de un bono perpétuo que paga un cupón de 52 € anuales y se adquiere por 1.000 €. El próximo cupón vence dentro de 1 año.</t>
  </si>
  <si>
    <t>Años</t>
  </si>
  <si>
    <t>Flujo caja</t>
  </si>
  <si>
    <t>Bono perpétuo con cobro del primer cupón a distinta frecuencia</t>
  </si>
  <si>
    <t>Calcular la TIR de un bono perpétuo que paga un cupón de 52 € anuales y se adquiere por 1.026 €. El próximo cupón vence dentro de 6 meses.</t>
  </si>
  <si>
    <t>VA</t>
  </si>
  <si>
    <t>VAN</t>
  </si>
  <si>
    <t>VA-Precio</t>
  </si>
  <si>
    <t>Dos inversiones</t>
  </si>
  <si>
    <t>Un ahorrador dispone de un capital inicial de C € que desea invertir durante 3 años. Con este capital acomete dos inversiones simultaneamente (A y B). El capital destinado a la inversión A es un 30% menor que el destinado a la inversión B.</t>
  </si>
  <si>
    <t>Inversión A</t>
  </si>
  <si>
    <t>Imposición a interés compuesto durante 3 años. El montante alcanzado durante el primer año asciende a 88.037,15 € y al final del tercer año es de 99.479,25 €</t>
  </si>
  <si>
    <t>Inversión B</t>
  </si>
  <si>
    <t>Montante</t>
  </si>
  <si>
    <t>Ca</t>
  </si>
  <si>
    <t>VFa=</t>
  </si>
  <si>
    <t>Ca(1+i)=88037,15</t>
  </si>
  <si>
    <t>ia=</t>
  </si>
  <si>
    <t>Ca=</t>
  </si>
  <si>
    <t>C=</t>
  </si>
  <si>
    <t>Cb=</t>
  </si>
  <si>
    <t>Un bono</t>
  </si>
  <si>
    <t>i2=</t>
  </si>
  <si>
    <t>VF de un Bono =</t>
  </si>
  <si>
    <t>Inversión Conjunta</t>
  </si>
  <si>
    <t>VF=VFa+VFb</t>
  </si>
  <si>
    <t>VF=C(1+0,043)^3</t>
  </si>
  <si>
    <t>VF =</t>
  </si>
  <si>
    <t>VFb=VF-VFa=</t>
  </si>
  <si>
    <t>Número de bonos</t>
  </si>
  <si>
    <t>bonos</t>
  </si>
  <si>
    <t>q =</t>
  </si>
  <si>
    <r>
      <t>Nota:</t>
    </r>
    <r>
      <rPr>
        <i/>
        <sz val="10"/>
        <rFont val="Arial"/>
        <family val="2"/>
      </rPr>
      <t xml:space="preserve"> Cuando no se da el Nominal de un bono se supondrá que es de 100 € de esta forma el precio se puede interpretar como un porcentaje sobre el Nominal.</t>
    </r>
  </si>
  <si>
    <r>
      <t xml:space="preserve">Aquiere </t>
    </r>
    <r>
      <rPr>
        <i/>
        <sz val="10"/>
        <rFont val="Arial"/>
        <family val="2"/>
      </rPr>
      <t>q</t>
    </r>
    <r>
      <rPr>
        <sz val="10"/>
        <rFont val="Arial"/>
        <family val="2"/>
      </rPr>
      <t xml:space="preserve"> bonos que serán amortizados dentro de 3 años. Cada bono proporciona cupones semestrales de 16,53 €, venciendo el próximo dentro de 6 meses. Cada bono se amortiza por el nominal (350 €) y se adquiere por E €. Los cupones son ingresados, en el momento de percibirse, en una cuenta bancaria que proporciona una rentabilidad del 2% efectivo anual.</t>
    </r>
  </si>
  <si>
    <r>
      <t xml:space="preserve">Sabiendo que la rentabilidad obtenida por éste señor durante los 3 años, por sus C € iniciales, ha sido del 4,3% efectivo anual, calcular </t>
    </r>
    <r>
      <rPr>
        <i/>
        <sz val="10"/>
        <rFont val="Arial"/>
        <family val="2"/>
      </rPr>
      <t>q</t>
    </r>
    <r>
      <rPr>
        <sz val="10"/>
        <rFont val="Arial"/>
        <family val="2"/>
      </rPr>
      <t>.</t>
    </r>
  </si>
  <si>
    <r>
      <t>88037,15(1+i)</t>
    </r>
    <r>
      <rPr>
        <vertAlign val="superscript"/>
        <sz val="10"/>
        <rFont val="Arial"/>
        <family val="2"/>
      </rPr>
      <t>2</t>
    </r>
    <r>
      <rPr>
        <sz val="10"/>
        <rFont val="Arial"/>
        <family val="2"/>
      </rPr>
      <t>=99479,25</t>
    </r>
  </si>
  <si>
    <r>
      <t>Ca(1+i)</t>
    </r>
    <r>
      <rPr>
        <vertAlign val="superscript"/>
        <sz val="10"/>
        <rFont val="Arial"/>
        <family val="2"/>
      </rPr>
      <t>3</t>
    </r>
    <r>
      <rPr>
        <sz val="10"/>
        <rFont val="Arial"/>
        <family val="2"/>
      </rPr>
      <t>=99479,25</t>
    </r>
  </si>
  <si>
    <t>Rentabilidad de un Bono</t>
  </si>
  <si>
    <t>Rentabilidad de un Bono de cupón semestral</t>
  </si>
  <si>
    <t>TIR de un Bono</t>
  </si>
  <si>
    <t>Precio de un Bono en el mercado secundario</t>
  </si>
  <si>
    <t>Prima de amortización</t>
  </si>
  <si>
    <t>Nominal del bono</t>
  </si>
  <si>
    <t>Deuda perpétua</t>
  </si>
  <si>
    <t>Cupón que percibe el inversor</t>
  </si>
  <si>
    <t>Meses transcurridos</t>
  </si>
  <si>
    <t>Precio de venta</t>
  </si>
  <si>
    <t>Precio de adquisición</t>
  </si>
  <si>
    <t>Método 4</t>
  </si>
  <si>
    <t>TIR calculada</t>
  </si>
  <si>
    <t>Diferencia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</si>
</sst>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 &quot;€&quot;;[Red]\-#,##0\ &quot;€&quot;"/>
    <numFmt numFmtId="165" formatCode="#,##0.00\ &quot;€&quot;;[Red]\-#,##0.00\ &quot;€&quot;"/>
    <numFmt numFmtId="166" formatCode="_-* #,##0.00\ &quot;€&quot;_-;\-* #,##0.00\ &quot;€&quot;_-;_-* &quot;-&quot;??\ &quot;€&quot;_-;_-@_-"/>
    <numFmt numFmtId="167" formatCode="0.0%"/>
    <numFmt numFmtId="168" formatCode="0.000%"/>
    <numFmt numFmtId="169" formatCode="0.0000%"/>
    <numFmt numFmtId="170" formatCode="0.00000%"/>
    <numFmt numFmtId="171" formatCode="#,##0.00000\ &quot;€&quot;;[Red]\-#,##0.00000\ &quot;€&quot;"/>
    <numFmt numFmtId="172" formatCode="0.000000%"/>
    <numFmt numFmtId="173" formatCode="#,##0.00000_ ;[Red]\-#,##0.00000\ "/>
    <numFmt numFmtId="174" formatCode="#,##0_ ;[Red]\-#,##0\ "/>
    <numFmt numFmtId="175" formatCode="#,##0.00\ &quot;€&quot;"/>
    <numFmt numFmtId="176" formatCode="0.0000000%"/>
    <numFmt numFmtId="177" formatCode="0.00000000"/>
    <numFmt numFmtId="178" formatCode="General\ &quot;años&quot;"/>
    <numFmt numFmtId="179" formatCode="0%\ &quot;anual&quot;"/>
  </numFmts>
  <fonts count="20" x14ac:knownFonts="1">
    <font>
      <sz val="10"/>
      <name val="Arial"/>
    </font>
    <font>
      <sz val="10"/>
      <name val="Arial"/>
      <family val="2"/>
    </font>
    <font>
      <sz val="8"/>
      <color indexed="81"/>
      <name val="Tahoma"/>
      <family val="2"/>
    </font>
    <font>
      <b/>
      <sz val="10"/>
      <name val="Arial"/>
      <family val="2"/>
    </font>
    <font>
      <sz val="8"/>
      <name val="Arial"/>
      <family val="2"/>
    </font>
    <font>
      <sz val="10"/>
      <name val="Verdana"/>
      <family val="2"/>
    </font>
    <font>
      <sz val="14"/>
      <name val="Bookman Old Style"/>
      <family val="1"/>
    </font>
    <font>
      <b/>
      <sz val="10"/>
      <color indexed="10"/>
      <name val="Arial"/>
      <family val="2"/>
    </font>
    <font>
      <b/>
      <i/>
      <sz val="10"/>
      <name val="Arial"/>
      <family val="2"/>
    </font>
    <font>
      <sz val="10"/>
      <color indexed="9"/>
      <name val="Arial"/>
      <family val="2"/>
    </font>
    <font>
      <b/>
      <sz val="10"/>
      <color indexed="12"/>
      <name val="Arial"/>
      <family val="2"/>
    </font>
    <font>
      <b/>
      <sz val="12"/>
      <name val="Arial"/>
      <family val="2"/>
    </font>
    <font>
      <b/>
      <sz val="13.5"/>
      <name val="Arial"/>
      <family val="2"/>
    </font>
    <font>
      <i/>
      <sz val="10"/>
      <name val="Arial"/>
      <family val="2"/>
    </font>
    <font>
      <b/>
      <sz val="10"/>
      <color indexed="13"/>
      <name val="Arial"/>
      <family val="2"/>
    </font>
    <font>
      <sz val="10"/>
      <color indexed="13"/>
      <name val="Arial"/>
      <family val="2"/>
    </font>
    <font>
      <sz val="10"/>
      <name val="Arial"/>
      <family val="2"/>
    </font>
    <font>
      <b/>
      <sz val="8"/>
      <color indexed="81"/>
      <name val="Tahoma"/>
      <family val="2"/>
    </font>
    <font>
      <b/>
      <sz val="14"/>
      <name val="Arial"/>
      <family val="2"/>
    </font>
    <font>
      <vertAlign val="superscript"/>
      <sz val="10"/>
      <name val="Arial"/>
      <family val="2"/>
    </font>
  </fonts>
  <fills count="19">
    <fill>
      <patternFill patternType="none"/>
    </fill>
    <fill>
      <patternFill patternType="gray125"/>
    </fill>
    <fill>
      <patternFill patternType="solid">
        <fgColor indexed="10"/>
        <bgColor indexed="64"/>
      </patternFill>
    </fill>
    <fill>
      <patternFill patternType="solid">
        <fgColor indexed="47"/>
        <bgColor indexed="64"/>
      </patternFill>
    </fill>
    <fill>
      <patternFill patternType="solid">
        <fgColor indexed="44"/>
        <bgColor indexed="64"/>
      </patternFill>
    </fill>
    <fill>
      <patternFill patternType="solid">
        <fgColor indexed="42"/>
        <bgColor indexed="64"/>
      </patternFill>
    </fill>
    <fill>
      <patternFill patternType="solid">
        <fgColor indexed="46"/>
        <bgColor indexed="64"/>
      </patternFill>
    </fill>
    <fill>
      <patternFill patternType="solid">
        <fgColor indexed="43"/>
        <bgColor indexed="64"/>
      </patternFill>
    </fill>
    <fill>
      <patternFill patternType="solid">
        <fgColor indexed="45"/>
        <bgColor indexed="64"/>
      </patternFill>
    </fill>
    <fill>
      <patternFill patternType="solid">
        <fgColor indexed="11"/>
        <bgColor indexed="64"/>
      </patternFill>
    </fill>
    <fill>
      <patternFill patternType="solid">
        <fgColor indexed="41"/>
        <bgColor indexed="64"/>
      </patternFill>
    </fill>
    <fill>
      <patternFill patternType="solid">
        <fgColor indexed="13"/>
        <bgColor indexed="64"/>
      </patternFill>
    </fill>
    <fill>
      <patternFill patternType="solid">
        <fgColor indexed="22"/>
        <bgColor indexed="64"/>
      </patternFill>
    </fill>
    <fill>
      <patternFill patternType="solid">
        <fgColor indexed="40"/>
        <bgColor indexed="64"/>
      </patternFill>
    </fill>
    <fill>
      <patternFill patternType="solid">
        <fgColor indexed="14"/>
        <bgColor indexed="64"/>
      </patternFill>
    </fill>
    <fill>
      <patternFill patternType="solid">
        <fgColor indexed="51"/>
        <bgColor indexed="64"/>
      </patternFill>
    </fill>
    <fill>
      <patternFill patternType="solid">
        <fgColor indexed="17"/>
        <bgColor indexed="64"/>
      </patternFill>
    </fill>
    <fill>
      <patternFill patternType="solid">
        <fgColor indexed="53"/>
        <bgColor indexed="64"/>
      </patternFill>
    </fill>
    <fill>
      <patternFill patternType="solid">
        <fgColor indexed="49"/>
        <bgColor indexed="64"/>
      </patternFill>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6" fontId="1" fillId="0" borderId="0" applyFont="0" applyFill="0" applyBorder="0" applyAlignment="0" applyProtection="0"/>
    <xf numFmtId="9" fontId="1" fillId="0" borderId="0" applyFont="0" applyFill="0" applyBorder="0" applyAlignment="0" applyProtection="0"/>
  </cellStyleXfs>
  <cellXfs count="344">
    <xf numFmtId="0" fontId="0" fillId="0" borderId="0" xfId="0"/>
    <xf numFmtId="0" fontId="3" fillId="2" borderId="1" xfId="0" applyFont="1" applyFill="1" applyBorder="1" applyAlignment="1">
      <alignment horizontal="center"/>
    </xf>
    <xf numFmtId="0" fontId="0" fillId="3" borderId="2" xfId="0" applyFill="1" applyBorder="1"/>
    <xf numFmtId="9" fontId="0" fillId="3" borderId="3" xfId="0" applyNumberFormat="1" applyFill="1" applyBorder="1"/>
    <xf numFmtId="169" fontId="0" fillId="3" borderId="3" xfId="0" applyNumberFormat="1" applyFill="1" applyBorder="1"/>
    <xf numFmtId="10" fontId="0" fillId="3" borderId="3" xfId="0" applyNumberFormat="1" applyFill="1" applyBorder="1"/>
    <xf numFmtId="0" fontId="0" fillId="3" borderId="4" xfId="0" applyFill="1" applyBorder="1"/>
    <xf numFmtId="0" fontId="0" fillId="3" borderId="5" xfId="0" applyFill="1" applyBorder="1"/>
    <xf numFmtId="169" fontId="0" fillId="3" borderId="6" xfId="0" applyNumberForma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166" fontId="0" fillId="3" borderId="12" xfId="0" applyNumberFormat="1" applyFill="1" applyBorder="1"/>
    <xf numFmtId="166" fontId="0" fillId="3" borderId="13" xfId="0" applyNumberFormat="1" applyFill="1" applyBorder="1"/>
    <xf numFmtId="166" fontId="0" fillId="0" borderId="0" xfId="1" applyFont="1"/>
    <xf numFmtId="0" fontId="0" fillId="0" borderId="0" xfId="0" applyAlignment="1">
      <alignment vertical="center"/>
    </xf>
    <xf numFmtId="0" fontId="0" fillId="3" borderId="14" xfId="0" applyFill="1" applyBorder="1"/>
    <xf numFmtId="166" fontId="0" fillId="3" borderId="15" xfId="1" applyFont="1" applyFill="1" applyBorder="1"/>
    <xf numFmtId="166" fontId="0" fillId="3" borderId="4" xfId="0" applyNumberFormat="1" applyFill="1" applyBorder="1"/>
    <xf numFmtId="0" fontId="0" fillId="4" borderId="0" xfId="0" applyFill="1"/>
    <xf numFmtId="0" fontId="0" fillId="4" borderId="16" xfId="0" applyFill="1" applyBorder="1"/>
    <xf numFmtId="0" fontId="0" fillId="4" borderId="17" xfId="0" applyFill="1" applyBorder="1"/>
    <xf numFmtId="0" fontId="0" fillId="5" borderId="18" xfId="0" applyFill="1" applyBorder="1"/>
    <xf numFmtId="0" fontId="0" fillId="5" borderId="19" xfId="0" applyFill="1" applyBorder="1"/>
    <xf numFmtId="166" fontId="0" fillId="5" borderId="19" xfId="0" applyNumberFormat="1" applyFill="1" applyBorder="1"/>
    <xf numFmtId="165" fontId="0" fillId="5" borderId="20" xfId="0" applyNumberFormat="1" applyFill="1" applyBorder="1"/>
    <xf numFmtId="0" fontId="0" fillId="5" borderId="16" xfId="0" applyFill="1" applyBorder="1"/>
    <xf numFmtId="0" fontId="0" fillId="5" borderId="17" xfId="0" applyFill="1" applyBorder="1"/>
    <xf numFmtId="0" fontId="0" fillId="5" borderId="21" xfId="0" applyFill="1" applyBorder="1"/>
    <xf numFmtId="0" fontId="0" fillId="6" borderId="8" xfId="0" applyFill="1" applyBorder="1"/>
    <xf numFmtId="166" fontId="0" fillId="6" borderId="12" xfId="1" applyFont="1" applyFill="1" applyBorder="1"/>
    <xf numFmtId="0" fontId="0" fillId="6" borderId="9" xfId="0" applyFill="1" applyBorder="1"/>
    <xf numFmtId="166" fontId="0" fillId="6" borderId="9" xfId="1" applyFont="1" applyFill="1" applyBorder="1"/>
    <xf numFmtId="0" fontId="0" fillId="6" borderId="10" xfId="0" applyFill="1" applyBorder="1"/>
    <xf numFmtId="0" fontId="0" fillId="6" borderId="13" xfId="0" applyFill="1" applyBorder="1" applyAlignment="1">
      <alignment horizontal="right"/>
    </xf>
    <xf numFmtId="166" fontId="0" fillId="6" borderId="13" xfId="1" applyFont="1" applyFill="1" applyBorder="1"/>
    <xf numFmtId="0" fontId="0" fillId="7" borderId="22" xfId="0" applyFill="1" applyBorder="1"/>
    <xf numFmtId="0" fontId="0" fillId="7" borderId="0" xfId="0" applyFill="1"/>
    <xf numFmtId="0" fontId="0" fillId="7" borderId="23" xfId="0" applyFill="1" applyBorder="1"/>
    <xf numFmtId="0" fontId="0" fillId="8" borderId="8" xfId="0" applyFill="1" applyBorder="1"/>
    <xf numFmtId="0" fontId="0" fillId="8" borderId="9" xfId="0" applyFill="1" applyBorder="1"/>
    <xf numFmtId="0" fontId="0" fillId="8" borderId="10" xfId="0" applyFill="1" applyBorder="1"/>
    <xf numFmtId="0" fontId="0" fillId="8" borderId="13" xfId="0" applyFill="1" applyBorder="1" applyAlignment="1">
      <alignment horizontal="right"/>
    </xf>
    <xf numFmtId="0" fontId="0" fillId="8" borderId="11" xfId="0" applyFill="1" applyBorder="1"/>
    <xf numFmtId="0" fontId="0" fillId="7" borderId="16" xfId="0" applyFill="1" applyBorder="1"/>
    <xf numFmtId="9" fontId="0" fillId="7" borderId="17" xfId="2" applyFont="1" applyFill="1" applyBorder="1"/>
    <xf numFmtId="0" fontId="0" fillId="7" borderId="17" xfId="0" applyFill="1" applyBorder="1"/>
    <xf numFmtId="0" fontId="0" fillId="7" borderId="21" xfId="0" applyFill="1" applyBorder="1"/>
    <xf numFmtId="0" fontId="0" fillId="7" borderId="18" xfId="0" applyFill="1" applyBorder="1"/>
    <xf numFmtId="0" fontId="0" fillId="7" borderId="19" xfId="0" applyFill="1" applyBorder="1"/>
    <xf numFmtId="0" fontId="0" fillId="7" borderId="20" xfId="0" applyFill="1" applyBorder="1"/>
    <xf numFmtId="9" fontId="0" fillId="7" borderId="17" xfId="0" applyNumberFormat="1" applyFill="1" applyBorder="1"/>
    <xf numFmtId="9" fontId="0" fillId="7" borderId="0" xfId="2" applyFont="1" applyFill="1" applyBorder="1"/>
    <xf numFmtId="10" fontId="0" fillId="7" borderId="17" xfId="2" applyNumberFormat="1" applyFont="1" applyFill="1" applyBorder="1"/>
    <xf numFmtId="9" fontId="0" fillId="7" borderId="0" xfId="0" applyNumberFormat="1" applyFill="1"/>
    <xf numFmtId="10" fontId="0" fillId="7" borderId="0" xfId="2" applyNumberFormat="1" applyFont="1" applyFill="1" applyBorder="1"/>
    <xf numFmtId="169" fontId="0" fillId="7" borderId="17" xfId="2" applyNumberFormat="1" applyFont="1" applyFill="1" applyBorder="1"/>
    <xf numFmtId="169" fontId="0" fillId="7" borderId="17" xfId="0" applyNumberFormat="1" applyFill="1" applyBorder="1"/>
    <xf numFmtId="10" fontId="0" fillId="7" borderId="19" xfId="0" applyNumberFormat="1" applyFill="1" applyBorder="1"/>
    <xf numFmtId="9" fontId="0" fillId="7" borderId="19" xfId="0" applyNumberFormat="1" applyFill="1" applyBorder="1"/>
    <xf numFmtId="164" fontId="0" fillId="7" borderId="17" xfId="0" applyNumberFormat="1" applyFill="1" applyBorder="1"/>
    <xf numFmtId="0" fontId="0" fillId="7" borderId="14" xfId="0" applyFill="1" applyBorder="1"/>
    <xf numFmtId="0" fontId="0" fillId="7" borderId="15" xfId="0" applyFill="1" applyBorder="1"/>
    <xf numFmtId="2" fontId="0" fillId="3" borderId="21" xfId="0" applyNumberFormat="1" applyFill="1" applyBorder="1"/>
    <xf numFmtId="166" fontId="0" fillId="7" borderId="24" xfId="1" applyFont="1" applyFill="1" applyBorder="1"/>
    <xf numFmtId="0" fontId="0" fillId="4" borderId="12" xfId="0" applyFill="1" applyBorder="1"/>
    <xf numFmtId="166" fontId="0" fillId="4" borderId="12" xfId="1" applyFont="1" applyFill="1" applyBorder="1"/>
    <xf numFmtId="0" fontId="0" fillId="4" borderId="19" xfId="0" applyFill="1" applyBorder="1"/>
    <xf numFmtId="0" fontId="0" fillId="6" borderId="5" xfId="0" applyFill="1" applyBorder="1"/>
    <xf numFmtId="166" fontId="0" fillId="6" borderId="6" xfId="1" applyFont="1" applyFill="1" applyBorder="1"/>
    <xf numFmtId="0" fontId="0" fillId="6" borderId="7" xfId="0" applyFill="1" applyBorder="1"/>
    <xf numFmtId="14" fontId="0" fillId="6" borderId="12" xfId="0" applyNumberFormat="1" applyFill="1" applyBorder="1"/>
    <xf numFmtId="9" fontId="0" fillId="6" borderId="12" xfId="0" applyNumberFormat="1" applyFill="1" applyBorder="1"/>
    <xf numFmtId="167" fontId="0" fillId="6" borderId="12" xfId="2" applyNumberFormat="1" applyFont="1" applyFill="1" applyBorder="1"/>
    <xf numFmtId="166" fontId="0" fillId="6" borderId="13" xfId="0" applyNumberFormat="1" applyFill="1" applyBorder="1"/>
    <xf numFmtId="0" fontId="0" fillId="6" borderId="11" xfId="0" applyFill="1" applyBorder="1"/>
    <xf numFmtId="0" fontId="3" fillId="8" borderId="5" xfId="0" applyFont="1" applyFill="1" applyBorder="1" applyAlignment="1">
      <alignment horizontal="center"/>
    </xf>
    <xf numFmtId="0" fontId="3" fillId="8" borderId="6" xfId="0" applyFont="1" applyFill="1" applyBorder="1" applyAlignment="1">
      <alignment horizontal="center"/>
    </xf>
    <xf numFmtId="0" fontId="3" fillId="8" borderId="7" xfId="0" applyFont="1" applyFill="1" applyBorder="1" applyAlignment="1">
      <alignment horizontal="center"/>
    </xf>
    <xf numFmtId="14" fontId="0" fillId="8" borderId="8" xfId="0" applyNumberFormat="1" applyFill="1" applyBorder="1"/>
    <xf numFmtId="166" fontId="0" fillId="8" borderId="12" xfId="0" applyNumberFormat="1" applyFill="1" applyBorder="1"/>
    <xf numFmtId="166" fontId="0" fillId="8" borderId="9" xfId="0" applyNumberFormat="1" applyFill="1" applyBorder="1"/>
    <xf numFmtId="14" fontId="0" fillId="8" borderId="10" xfId="0" applyNumberFormat="1" applyFill="1" applyBorder="1"/>
    <xf numFmtId="0" fontId="0" fillId="8" borderId="13" xfId="0" quotePrefix="1" applyFill="1" applyBorder="1" applyAlignment="1">
      <alignment horizontal="right" indent="1"/>
    </xf>
    <xf numFmtId="166" fontId="0" fillId="8" borderId="11" xfId="0" applyNumberFormat="1" applyFill="1" applyBorder="1"/>
    <xf numFmtId="164" fontId="0" fillId="6" borderId="12" xfId="0" applyNumberFormat="1" applyFill="1" applyBorder="1"/>
    <xf numFmtId="169" fontId="0" fillId="6" borderId="12" xfId="0" applyNumberFormat="1" applyFill="1" applyBorder="1"/>
    <xf numFmtId="164" fontId="0" fillId="8" borderId="9" xfId="0" applyNumberFormat="1" applyFill="1" applyBorder="1"/>
    <xf numFmtId="0" fontId="3" fillId="8" borderId="8" xfId="0" applyFont="1" applyFill="1" applyBorder="1" applyAlignment="1">
      <alignment horizontal="right"/>
    </xf>
    <xf numFmtId="0" fontId="3" fillId="8" borderId="9" xfId="0" applyFont="1" applyFill="1" applyBorder="1" applyAlignment="1">
      <alignment horizontal="right"/>
    </xf>
    <xf numFmtId="0" fontId="6" fillId="8" borderId="10" xfId="0" applyFont="1" applyFill="1" applyBorder="1" applyAlignment="1">
      <alignment horizontal="right"/>
    </xf>
    <xf numFmtId="164" fontId="0" fillId="8" borderId="11" xfId="0" applyNumberFormat="1" applyFill="1" applyBorder="1" applyAlignment="1">
      <alignment horizontal="right"/>
    </xf>
    <xf numFmtId="0" fontId="3" fillId="8" borderId="12" xfId="0" quotePrefix="1" applyFont="1" applyFill="1" applyBorder="1" applyAlignment="1">
      <alignment horizontal="center"/>
    </xf>
    <xf numFmtId="0" fontId="0" fillId="8" borderId="12" xfId="0" applyFill="1" applyBorder="1"/>
    <xf numFmtId="0" fontId="5" fillId="8" borderId="8" xfId="0" applyFont="1" applyFill="1" applyBorder="1" applyAlignment="1">
      <alignment horizontal="right"/>
    </xf>
    <xf numFmtId="0" fontId="5" fillId="8" borderId="9" xfId="0" applyFont="1" applyFill="1" applyBorder="1" applyAlignment="1">
      <alignment horizontal="right"/>
    </xf>
    <xf numFmtId="0" fontId="0" fillId="8" borderId="13" xfId="0" applyFill="1" applyBorder="1"/>
    <xf numFmtId="0" fontId="3" fillId="8" borderId="9" xfId="0" quotePrefix="1" applyFont="1" applyFill="1" applyBorder="1" applyAlignment="1">
      <alignment horizontal="center"/>
    </xf>
    <xf numFmtId="166" fontId="0" fillId="8" borderId="9" xfId="1" applyFont="1" applyFill="1" applyBorder="1"/>
    <xf numFmtId="166" fontId="0" fillId="8" borderId="11" xfId="1" applyFont="1" applyFill="1" applyBorder="1"/>
    <xf numFmtId="0" fontId="0" fillId="6" borderId="18" xfId="0" applyFill="1" applyBorder="1"/>
    <xf numFmtId="9" fontId="0" fillId="6" borderId="19" xfId="0" applyNumberFormat="1" applyFill="1" applyBorder="1"/>
    <xf numFmtId="0" fontId="0" fillId="6" borderId="20" xfId="0" applyFill="1" applyBorder="1"/>
    <xf numFmtId="0" fontId="0" fillId="6" borderId="22" xfId="0" applyFill="1" applyBorder="1"/>
    <xf numFmtId="166" fontId="0" fillId="6" borderId="0" xfId="1" applyFont="1" applyFill="1" applyBorder="1"/>
    <xf numFmtId="0" fontId="0" fillId="6" borderId="23" xfId="0" applyFill="1" applyBorder="1"/>
    <xf numFmtId="0" fontId="0" fillId="6" borderId="16" xfId="0" applyFill="1" applyBorder="1"/>
    <xf numFmtId="166" fontId="0" fillId="6" borderId="17" xfId="1" applyFont="1" applyFill="1" applyBorder="1"/>
    <xf numFmtId="0" fontId="0" fillId="6" borderId="21" xfId="0" applyFill="1" applyBorder="1"/>
    <xf numFmtId="9" fontId="0" fillId="6" borderId="6" xfId="0" applyNumberFormat="1" applyFill="1" applyBorder="1"/>
    <xf numFmtId="10" fontId="0" fillId="6" borderId="6" xfId="0" applyNumberFormat="1" applyFill="1" applyBorder="1"/>
    <xf numFmtId="169" fontId="0" fillId="6" borderId="12" xfId="2" applyNumberFormat="1" applyFont="1" applyFill="1" applyBorder="1"/>
    <xf numFmtId="0" fontId="0" fillId="6" borderId="12" xfId="0" applyFill="1" applyBorder="1"/>
    <xf numFmtId="10" fontId="0" fillId="6" borderId="12" xfId="0" applyNumberFormat="1" applyFill="1" applyBorder="1"/>
    <xf numFmtId="9" fontId="0" fillId="6" borderId="0" xfId="0" applyNumberFormat="1" applyFill="1"/>
    <xf numFmtId="166" fontId="0" fillId="6" borderId="17" xfId="0" applyNumberFormat="1" applyFill="1" applyBorder="1"/>
    <xf numFmtId="9" fontId="0" fillId="6" borderId="13" xfId="0" applyNumberFormat="1" applyFill="1" applyBorder="1"/>
    <xf numFmtId="0" fontId="0" fillId="8" borderId="12" xfId="0" applyFill="1" applyBorder="1" applyAlignment="1">
      <alignment horizontal="right"/>
    </xf>
    <xf numFmtId="166" fontId="0" fillId="8" borderId="12" xfId="1" applyFont="1" applyFill="1" applyBorder="1"/>
    <xf numFmtId="166" fontId="0" fillId="8" borderId="13" xfId="1" applyFont="1" applyFill="1" applyBorder="1"/>
    <xf numFmtId="166" fontId="0" fillId="6" borderId="19" xfId="1" applyFont="1" applyFill="1" applyBorder="1"/>
    <xf numFmtId="0" fontId="0" fillId="6" borderId="0" xfId="0" applyFill="1"/>
    <xf numFmtId="15" fontId="0" fillId="8" borderId="8" xfId="0" applyNumberFormat="1" applyFill="1" applyBorder="1"/>
    <xf numFmtId="15" fontId="0" fillId="8" borderId="10" xfId="0" applyNumberFormat="1" applyFill="1" applyBorder="1"/>
    <xf numFmtId="15" fontId="0" fillId="6" borderId="7" xfId="0" applyNumberFormat="1" applyFill="1" applyBorder="1"/>
    <xf numFmtId="168" fontId="0" fillId="6" borderId="9" xfId="0" applyNumberFormat="1" applyFill="1" applyBorder="1"/>
    <xf numFmtId="10" fontId="0" fillId="6" borderId="9" xfId="0" applyNumberFormat="1" applyFill="1" applyBorder="1"/>
    <xf numFmtId="166" fontId="0" fillId="6" borderId="9" xfId="0" applyNumberFormat="1" applyFill="1" applyBorder="1"/>
    <xf numFmtId="16" fontId="0" fillId="6" borderId="9" xfId="0" applyNumberFormat="1" applyFill="1" applyBorder="1"/>
    <xf numFmtId="15" fontId="0" fillId="6" borderId="11" xfId="0" applyNumberFormat="1" applyFill="1" applyBorder="1"/>
    <xf numFmtId="0" fontId="0" fillId="3" borderId="25" xfId="0" applyFill="1" applyBorder="1"/>
    <xf numFmtId="166" fontId="0" fillId="3" borderId="15" xfId="0" applyNumberFormat="1" applyFill="1" applyBorder="1"/>
    <xf numFmtId="169" fontId="0" fillId="3" borderId="15" xfId="2" applyNumberFormat="1" applyFont="1" applyFill="1" applyBorder="1"/>
    <xf numFmtId="0" fontId="0" fillId="4" borderId="18" xfId="0" applyFill="1" applyBorder="1"/>
    <xf numFmtId="3" fontId="0" fillId="4" borderId="20" xfId="0" applyNumberFormat="1" applyFill="1" applyBorder="1"/>
    <xf numFmtId="0" fontId="0" fillId="4" borderId="22" xfId="0" applyFill="1" applyBorder="1"/>
    <xf numFmtId="3" fontId="0" fillId="4" borderId="23" xfId="0" applyNumberFormat="1" applyFill="1" applyBorder="1"/>
    <xf numFmtId="3" fontId="0" fillId="4" borderId="21" xfId="0" applyNumberFormat="1" applyFill="1" applyBorder="1"/>
    <xf numFmtId="0" fontId="3" fillId="4" borderId="2" xfId="0" applyFont="1" applyFill="1" applyBorder="1" applyAlignment="1">
      <alignment horizontal="center"/>
    </xf>
    <xf numFmtId="0" fontId="9" fillId="0" borderId="0" xfId="0" applyFont="1"/>
    <xf numFmtId="0" fontId="0" fillId="9" borderId="18" xfId="0" applyFill="1" applyBorder="1"/>
    <xf numFmtId="0" fontId="0" fillId="9" borderId="19" xfId="0" applyFill="1" applyBorder="1"/>
    <xf numFmtId="0" fontId="0" fillId="9" borderId="20" xfId="0" applyFill="1" applyBorder="1"/>
    <xf numFmtId="0" fontId="0" fillId="9" borderId="22" xfId="0" applyFill="1" applyBorder="1"/>
    <xf numFmtId="0" fontId="0" fillId="9" borderId="0" xfId="0" applyFill="1"/>
    <xf numFmtId="0" fontId="0" fillId="9" borderId="23" xfId="0" applyFill="1" applyBorder="1"/>
    <xf numFmtId="0" fontId="12" fillId="0" borderId="0" xfId="0" applyFont="1"/>
    <xf numFmtId="0" fontId="0" fillId="0" borderId="0" xfId="0" applyAlignment="1">
      <alignment horizontal="center"/>
    </xf>
    <xf numFmtId="0" fontId="0" fillId="5" borderId="19" xfId="0" applyFill="1" applyBorder="1" applyAlignment="1">
      <alignment horizontal="center"/>
    </xf>
    <xf numFmtId="0" fontId="0" fillId="5" borderId="20" xfId="0" applyFill="1" applyBorder="1"/>
    <xf numFmtId="0" fontId="0" fillId="5" borderId="22" xfId="0" applyFill="1" applyBorder="1"/>
    <xf numFmtId="0" fontId="0" fillId="5" borderId="0" xfId="0" applyFill="1"/>
    <xf numFmtId="0" fontId="0" fillId="5" borderId="23" xfId="0" applyFill="1" applyBorder="1"/>
    <xf numFmtId="0" fontId="0" fillId="4" borderId="5" xfId="0" applyFill="1" applyBorder="1"/>
    <xf numFmtId="0" fontId="0" fillId="4" borderId="8" xfId="0" applyFill="1" applyBorder="1"/>
    <xf numFmtId="165" fontId="0" fillId="5" borderId="0" xfId="0" applyNumberFormat="1" applyFill="1"/>
    <xf numFmtId="0" fontId="0" fillId="4" borderId="10" xfId="0" applyFill="1" applyBorder="1"/>
    <xf numFmtId="0" fontId="3" fillId="4" borderId="5" xfId="0" applyFont="1" applyFill="1" applyBorder="1" applyAlignment="1">
      <alignment horizontal="center"/>
    </xf>
    <xf numFmtId="0" fontId="3" fillId="4" borderId="7" xfId="0" applyFont="1" applyFill="1" applyBorder="1" applyAlignment="1">
      <alignment horizontal="center"/>
    </xf>
    <xf numFmtId="0" fontId="0" fillId="4" borderId="9" xfId="0" quotePrefix="1" applyFill="1" applyBorder="1" applyAlignment="1">
      <alignment horizontal="right"/>
    </xf>
    <xf numFmtId="166" fontId="0" fillId="4" borderId="9" xfId="0" applyNumberFormat="1" applyFill="1" applyBorder="1"/>
    <xf numFmtId="166" fontId="0" fillId="4" borderId="11" xfId="0" applyNumberFormat="1" applyFill="1" applyBorder="1"/>
    <xf numFmtId="15" fontId="0" fillId="4" borderId="26" xfId="0" applyNumberFormat="1" applyFill="1" applyBorder="1"/>
    <xf numFmtId="15" fontId="0" fillId="4" borderId="27" xfId="0" applyNumberFormat="1" applyFill="1" applyBorder="1"/>
    <xf numFmtId="15" fontId="0" fillId="4" borderId="28" xfId="0" applyNumberFormat="1" applyFill="1" applyBorder="1"/>
    <xf numFmtId="0" fontId="0" fillId="0" borderId="0" xfId="0" applyAlignment="1">
      <alignment vertical="center" wrapText="1"/>
    </xf>
    <xf numFmtId="0" fontId="0" fillId="0" borderId="5" xfId="0" applyBorder="1"/>
    <xf numFmtId="166" fontId="1" fillId="0" borderId="7" xfId="1" applyBorder="1"/>
    <xf numFmtId="0" fontId="0" fillId="0" borderId="10" xfId="0" applyBorder="1"/>
    <xf numFmtId="166" fontId="1" fillId="0" borderId="11" xfId="1" applyBorder="1"/>
    <xf numFmtId="0" fontId="3" fillId="0" borderId="5" xfId="0" applyFont="1" applyBorder="1" applyAlignment="1">
      <alignment horizontal="center"/>
    </xf>
    <xf numFmtId="0" fontId="3" fillId="0" borderId="7" xfId="0" applyFont="1" applyBorder="1" applyAlignment="1">
      <alignment horizontal="center"/>
    </xf>
    <xf numFmtId="0" fontId="0" fillId="0" borderId="8" xfId="0" applyBorder="1"/>
    <xf numFmtId="166" fontId="1" fillId="0" borderId="9" xfId="1" applyBorder="1"/>
    <xf numFmtId="0" fontId="6" fillId="0" borderId="10" xfId="0" applyFont="1" applyBorder="1" applyAlignment="1">
      <alignment horizontal="right"/>
    </xf>
    <xf numFmtId="0" fontId="0" fillId="0" borderId="8" xfId="0" applyBorder="1" applyAlignment="1">
      <alignment horizontal="right"/>
    </xf>
    <xf numFmtId="166" fontId="1" fillId="0" borderId="9" xfId="1" applyBorder="1" applyAlignment="1">
      <alignment horizontal="center"/>
    </xf>
    <xf numFmtId="0" fontId="0" fillId="0" borderId="9" xfId="0" applyBorder="1" applyAlignment="1">
      <alignment horizontal="center"/>
    </xf>
    <xf numFmtId="0" fontId="16" fillId="0" borderId="0" xfId="0" applyFont="1"/>
    <xf numFmtId="0" fontId="3" fillId="0" borderId="6" xfId="0" applyFont="1" applyBorder="1" applyAlignment="1">
      <alignment horizontal="center"/>
    </xf>
    <xf numFmtId="0" fontId="0" fillId="0" borderId="12" xfId="0" applyBorder="1"/>
    <xf numFmtId="0" fontId="0" fillId="0" borderId="9" xfId="0" applyBorder="1"/>
    <xf numFmtId="175" fontId="1" fillId="0" borderId="7" xfId="1" applyNumberFormat="1" applyBorder="1"/>
    <xf numFmtId="171" fontId="0" fillId="0" borderId="7" xfId="0" applyNumberFormat="1" applyBorder="1"/>
    <xf numFmtId="9" fontId="0" fillId="0" borderId="9" xfId="0" applyNumberFormat="1" applyBorder="1"/>
    <xf numFmtId="175" fontId="0" fillId="0" borderId="9" xfId="0" applyNumberFormat="1" applyBorder="1"/>
    <xf numFmtId="169" fontId="0" fillId="3" borderId="9" xfId="0" applyNumberFormat="1" applyFill="1" applyBorder="1"/>
    <xf numFmtId="169" fontId="0" fillId="3" borderId="11" xfId="0" applyNumberFormat="1" applyFill="1" applyBorder="1"/>
    <xf numFmtId="175" fontId="0" fillId="0" borderId="11" xfId="0" applyNumberFormat="1" applyBorder="1"/>
    <xf numFmtId="176" fontId="0" fillId="0" borderId="0" xfId="0" applyNumberFormat="1"/>
    <xf numFmtId="170" fontId="0" fillId="0" borderId="0" xfId="0" applyNumberFormat="1"/>
    <xf numFmtId="177" fontId="0" fillId="0" borderId="0" xfId="0" applyNumberFormat="1"/>
    <xf numFmtId="2" fontId="0" fillId="0" borderId="0" xfId="0" applyNumberFormat="1"/>
    <xf numFmtId="176" fontId="0" fillId="0" borderId="9" xfId="0" applyNumberFormat="1" applyBorder="1"/>
    <xf numFmtId="0" fontId="0" fillId="0" borderId="13" xfId="0" applyBorder="1"/>
    <xf numFmtId="176" fontId="0" fillId="0" borderId="11" xfId="0" applyNumberFormat="1" applyBorder="1"/>
    <xf numFmtId="0" fontId="0" fillId="10" borderId="22" xfId="0" applyFill="1" applyBorder="1"/>
    <xf numFmtId="0" fontId="16" fillId="0" borderId="0" xfId="0" applyFont="1" applyAlignment="1">
      <alignment wrapText="1"/>
    </xf>
    <xf numFmtId="0" fontId="0" fillId="0" borderId="12" xfId="0" applyBorder="1" applyAlignment="1">
      <alignment horizontal="center"/>
    </xf>
    <xf numFmtId="0" fontId="0" fillId="0" borderId="12" xfId="0" applyBorder="1" applyAlignment="1">
      <alignment horizontal="right"/>
    </xf>
    <xf numFmtId="166" fontId="1" fillId="0" borderId="12" xfId="1" applyBorder="1"/>
    <xf numFmtId="166" fontId="0" fillId="0" borderId="12" xfId="0" applyNumberFormat="1" applyBorder="1" applyAlignment="1">
      <alignment horizontal="center"/>
    </xf>
    <xf numFmtId="0" fontId="0" fillId="0" borderId="0" xfId="0" applyAlignment="1">
      <alignment horizontal="right"/>
    </xf>
    <xf numFmtId="10" fontId="1" fillId="0" borderId="0" xfId="2" applyNumberFormat="1" applyBorder="1" applyAlignment="1">
      <alignment horizontal="left"/>
    </xf>
    <xf numFmtId="9" fontId="0" fillId="0" borderId="0" xfId="0" applyNumberFormat="1"/>
    <xf numFmtId="166" fontId="0" fillId="0" borderId="12" xfId="0" applyNumberFormat="1" applyBorder="1"/>
    <xf numFmtId="0" fontId="0" fillId="11" borderId="12" xfId="0" applyFill="1" applyBorder="1"/>
    <xf numFmtId="169" fontId="1" fillId="0" borderId="12" xfId="2" applyNumberFormat="1" applyBorder="1"/>
    <xf numFmtId="165" fontId="0" fillId="0" borderId="0" xfId="0" applyNumberFormat="1"/>
    <xf numFmtId="165" fontId="0" fillId="0" borderId="12" xfId="0" applyNumberFormat="1" applyBorder="1"/>
    <xf numFmtId="173" fontId="0" fillId="0" borderId="12" xfId="0" applyNumberFormat="1" applyBorder="1"/>
    <xf numFmtId="174" fontId="0" fillId="3" borderId="12" xfId="0" applyNumberFormat="1" applyFill="1" applyBorder="1"/>
    <xf numFmtId="165" fontId="0" fillId="3" borderId="7" xfId="0" applyNumberFormat="1" applyFill="1" applyBorder="1"/>
    <xf numFmtId="165" fontId="0" fillId="3" borderId="11" xfId="0" applyNumberFormat="1" applyFill="1" applyBorder="1"/>
    <xf numFmtId="0" fontId="0" fillId="5" borderId="12" xfId="0" applyFill="1" applyBorder="1"/>
    <xf numFmtId="166" fontId="0" fillId="11" borderId="9" xfId="0" applyNumberFormat="1" applyFill="1" applyBorder="1"/>
    <xf numFmtId="165" fontId="0" fillId="8" borderId="9" xfId="1" applyNumberFormat="1" applyFont="1" applyFill="1" applyBorder="1"/>
    <xf numFmtId="165" fontId="0" fillId="8" borderId="11" xfId="1" applyNumberFormat="1" applyFont="1" applyFill="1" applyBorder="1"/>
    <xf numFmtId="166" fontId="0" fillId="7" borderId="1" xfId="1" applyFont="1" applyFill="1" applyBorder="1"/>
    <xf numFmtId="0" fontId="7" fillId="12" borderId="15" xfId="0" applyFont="1" applyFill="1" applyBorder="1"/>
    <xf numFmtId="166" fontId="3" fillId="11" borderId="1" xfId="1" applyFont="1" applyFill="1" applyBorder="1"/>
    <xf numFmtId="172" fontId="3" fillId="13" borderId="1" xfId="0" applyNumberFormat="1" applyFont="1" applyFill="1" applyBorder="1"/>
    <xf numFmtId="166" fontId="0" fillId="11" borderId="11" xfId="0" applyNumberFormat="1" applyFill="1" applyBorder="1"/>
    <xf numFmtId="169" fontId="0" fillId="9" borderId="4" xfId="2" applyNumberFormat="1" applyFont="1" applyFill="1" applyBorder="1"/>
    <xf numFmtId="0" fontId="0" fillId="3" borderId="29" xfId="0" applyFill="1" applyBorder="1" applyAlignment="1">
      <alignment horizontal="center"/>
    </xf>
    <xf numFmtId="166" fontId="1" fillId="3" borderId="30" xfId="1" applyFill="1" applyBorder="1"/>
    <xf numFmtId="166" fontId="0" fillId="3" borderId="30" xfId="0" applyNumberFormat="1" applyFill="1" applyBorder="1"/>
    <xf numFmtId="165" fontId="0" fillId="3" borderId="30" xfId="0" applyNumberFormat="1" applyFill="1" applyBorder="1"/>
    <xf numFmtId="172" fontId="0" fillId="5" borderId="9" xfId="0" applyNumberFormat="1" applyFill="1" applyBorder="1"/>
    <xf numFmtId="172" fontId="0" fillId="14" borderId="9" xfId="0" applyNumberFormat="1" applyFill="1" applyBorder="1"/>
    <xf numFmtId="179" fontId="0" fillId="4" borderId="7" xfId="0" applyNumberFormat="1" applyFill="1" applyBorder="1"/>
    <xf numFmtId="166" fontId="1" fillId="4" borderId="9" xfId="1" applyFill="1" applyBorder="1"/>
    <xf numFmtId="178" fontId="0" fillId="4" borderId="9" xfId="0" applyNumberFormat="1" applyFill="1" applyBorder="1"/>
    <xf numFmtId="9" fontId="0" fillId="4" borderId="9" xfId="0" applyNumberFormat="1" applyFill="1" applyBorder="1"/>
    <xf numFmtId="166" fontId="1" fillId="4" borderId="11" xfId="1" applyFill="1" applyBorder="1"/>
    <xf numFmtId="9" fontId="0" fillId="4" borderId="7" xfId="0" applyNumberFormat="1" applyFill="1" applyBorder="1"/>
    <xf numFmtId="9" fontId="0" fillId="4" borderId="11" xfId="0" applyNumberFormat="1" applyFill="1" applyBorder="1"/>
    <xf numFmtId="169" fontId="0" fillId="7" borderId="25" xfId="2" applyNumberFormat="1" applyFont="1" applyFill="1" applyBorder="1"/>
    <xf numFmtId="0" fontId="0" fillId="7" borderId="25" xfId="0" applyFill="1" applyBorder="1"/>
    <xf numFmtId="165" fontId="0" fillId="15" borderId="4" xfId="0" applyNumberFormat="1" applyFill="1" applyBorder="1"/>
    <xf numFmtId="0" fontId="0" fillId="9" borderId="2" xfId="0" applyFill="1" applyBorder="1"/>
    <xf numFmtId="0" fontId="0" fillId="7" borderId="31" xfId="0" applyFill="1" applyBorder="1"/>
    <xf numFmtId="166" fontId="0" fillId="7" borderId="32" xfId="1" applyFont="1" applyFill="1" applyBorder="1"/>
    <xf numFmtId="0" fontId="0" fillId="7" borderId="33" xfId="0" applyFill="1" applyBorder="1"/>
    <xf numFmtId="0" fontId="0" fillId="7" borderId="34" xfId="0" applyFill="1" applyBorder="1"/>
    <xf numFmtId="0" fontId="0" fillId="7" borderId="35" xfId="0" applyFill="1" applyBorder="1"/>
    <xf numFmtId="165" fontId="0" fillId="7" borderId="36" xfId="0" applyNumberFormat="1" applyFill="1" applyBorder="1"/>
    <xf numFmtId="166" fontId="0" fillId="11" borderId="15" xfId="0" applyNumberFormat="1" applyFill="1" applyBorder="1"/>
    <xf numFmtId="0" fontId="16" fillId="6" borderId="12" xfId="0" applyFont="1" applyFill="1" applyBorder="1" applyAlignment="1">
      <alignment horizontal="center"/>
    </xf>
    <xf numFmtId="0" fontId="0" fillId="0" borderId="37" xfId="0" applyBorder="1" applyAlignment="1">
      <alignment horizontal="center"/>
    </xf>
    <xf numFmtId="0" fontId="3" fillId="3" borderId="12" xfId="0" applyFont="1" applyFill="1" applyBorder="1" applyAlignment="1">
      <alignment horizontal="center"/>
    </xf>
    <xf numFmtId="168" fontId="1" fillId="3" borderId="12" xfId="2" applyNumberFormat="1" applyFill="1" applyBorder="1"/>
    <xf numFmtId="0" fontId="0" fillId="7" borderId="18" xfId="0" applyFill="1" applyBorder="1" applyAlignment="1">
      <alignment wrapText="1"/>
    </xf>
    <xf numFmtId="0" fontId="0" fillId="7" borderId="19" xfId="0" applyFill="1" applyBorder="1" applyAlignment="1">
      <alignment wrapText="1"/>
    </xf>
    <xf numFmtId="0" fontId="0" fillId="7" borderId="20" xfId="0" applyFill="1" applyBorder="1" applyAlignment="1">
      <alignment wrapText="1"/>
    </xf>
    <xf numFmtId="0" fontId="0" fillId="7" borderId="22" xfId="0" applyFill="1" applyBorder="1" applyAlignment="1">
      <alignment wrapText="1"/>
    </xf>
    <xf numFmtId="0" fontId="0" fillId="7" borderId="0" xfId="0" applyFill="1" applyAlignment="1">
      <alignment wrapText="1"/>
    </xf>
    <xf numFmtId="0" fontId="0" fillId="7" borderId="23" xfId="0" applyFill="1" applyBorder="1" applyAlignment="1">
      <alignment wrapText="1"/>
    </xf>
    <xf numFmtId="0" fontId="0" fillId="10" borderId="18" xfId="0" applyFill="1" applyBorder="1" applyAlignment="1">
      <alignment vertical="center" wrapText="1"/>
    </xf>
    <xf numFmtId="0" fontId="0" fillId="0" borderId="19" xfId="0" applyBorder="1" applyAlignment="1">
      <alignment vertical="center" wrapText="1"/>
    </xf>
    <xf numFmtId="0" fontId="0" fillId="0" borderId="20" xfId="0" applyBorder="1" applyAlignment="1">
      <alignment vertical="center" wrapText="1"/>
    </xf>
    <xf numFmtId="0" fontId="0" fillId="0" borderId="22"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0" fillId="0" borderId="21" xfId="0" applyBorder="1" applyAlignment="1">
      <alignment vertical="center" wrapText="1"/>
    </xf>
    <xf numFmtId="0" fontId="0" fillId="9" borderId="22" xfId="0" applyFill="1" applyBorder="1" applyAlignment="1">
      <alignment wrapText="1"/>
    </xf>
    <xf numFmtId="0" fontId="0" fillId="9" borderId="0" xfId="0" applyFill="1" applyAlignment="1">
      <alignment wrapText="1"/>
    </xf>
    <xf numFmtId="0" fontId="0" fillId="9" borderId="23" xfId="0" applyFill="1" applyBorder="1" applyAlignment="1">
      <alignment wrapText="1"/>
    </xf>
    <xf numFmtId="0" fontId="0" fillId="9" borderId="16" xfId="0" applyFill="1" applyBorder="1" applyAlignment="1">
      <alignment wrapText="1"/>
    </xf>
    <xf numFmtId="0" fontId="0" fillId="9" borderId="17" xfId="0" applyFill="1" applyBorder="1" applyAlignment="1">
      <alignment wrapText="1"/>
    </xf>
    <xf numFmtId="0" fontId="0" fillId="9" borderId="21" xfId="0" applyFill="1" applyBorder="1" applyAlignment="1">
      <alignment wrapText="1"/>
    </xf>
    <xf numFmtId="0" fontId="11" fillId="17" borderId="14" xfId="0" quotePrefix="1" applyFont="1" applyFill="1" applyBorder="1" applyAlignment="1">
      <alignment horizontal="center" vertical="center" wrapText="1"/>
    </xf>
    <xf numFmtId="0" fontId="0" fillId="0" borderId="15" xfId="0" applyBorder="1" applyAlignment="1">
      <alignment horizontal="center" vertical="center" wrapText="1"/>
    </xf>
    <xf numFmtId="0" fontId="14" fillId="16" borderId="14" xfId="0" applyFont="1" applyFill="1" applyBorder="1" applyAlignment="1">
      <alignment horizontal="center" wrapText="1"/>
    </xf>
    <xf numFmtId="0" fontId="15" fillId="16" borderId="15" xfId="0" applyFont="1" applyFill="1" applyBorder="1" applyAlignment="1">
      <alignment horizontal="center" wrapText="1"/>
    </xf>
    <xf numFmtId="0" fontId="0" fillId="10" borderId="18" xfId="0" applyFill="1" applyBorder="1" applyAlignment="1">
      <alignment horizontal="left" vertical="center" wrapText="1"/>
    </xf>
    <xf numFmtId="0" fontId="0" fillId="10" borderId="19" xfId="0" applyFill="1" applyBorder="1" applyAlignment="1">
      <alignment horizontal="left" vertical="center" wrapText="1"/>
    </xf>
    <xf numFmtId="0" fontId="0" fillId="10" borderId="20" xfId="0" applyFill="1" applyBorder="1" applyAlignment="1">
      <alignment horizontal="left" vertical="center" wrapText="1"/>
    </xf>
    <xf numFmtId="0" fontId="0" fillId="10" borderId="16" xfId="0" applyFill="1" applyBorder="1" applyAlignment="1">
      <alignment horizontal="left" vertical="center" wrapText="1"/>
    </xf>
    <xf numFmtId="0" fontId="0" fillId="10" borderId="17" xfId="0" applyFill="1" applyBorder="1" applyAlignment="1">
      <alignment horizontal="left" vertical="center" wrapText="1"/>
    </xf>
    <xf numFmtId="0" fontId="0" fillId="10" borderId="21" xfId="0" applyFill="1" applyBorder="1" applyAlignment="1">
      <alignment horizontal="left" vertical="center" wrapText="1"/>
    </xf>
    <xf numFmtId="0" fontId="3" fillId="14" borderId="18" xfId="0" applyFont="1" applyFill="1" applyBorder="1" applyAlignment="1">
      <alignment vertical="center" wrapText="1"/>
    </xf>
    <xf numFmtId="0" fontId="0" fillId="14" borderId="19" xfId="0" applyFill="1" applyBorder="1" applyAlignment="1">
      <alignment vertical="center" wrapText="1"/>
    </xf>
    <xf numFmtId="0" fontId="0" fillId="14" borderId="20" xfId="0" applyFill="1" applyBorder="1" applyAlignment="1">
      <alignment vertical="center" wrapText="1"/>
    </xf>
    <xf numFmtId="0" fontId="0" fillId="14" borderId="16" xfId="0" applyFill="1" applyBorder="1" applyAlignment="1">
      <alignment vertical="center" wrapText="1"/>
    </xf>
    <xf numFmtId="0" fontId="0" fillId="14" borderId="17" xfId="0" applyFill="1" applyBorder="1" applyAlignment="1">
      <alignment vertical="center" wrapText="1"/>
    </xf>
    <xf numFmtId="0" fontId="0" fillId="14" borderId="21" xfId="0" applyFill="1" applyBorder="1" applyAlignment="1">
      <alignment vertical="center" wrapText="1"/>
    </xf>
    <xf numFmtId="0" fontId="0" fillId="3" borderId="5" xfId="0" applyFill="1" applyBorder="1" applyAlignment="1">
      <alignment horizontal="center" vertical="center" wrapText="1"/>
    </xf>
    <xf numFmtId="0" fontId="0" fillId="0" borderId="10" xfId="0" applyBorder="1" applyAlignment="1">
      <alignment horizontal="center" vertical="center" wrapText="1"/>
    </xf>
    <xf numFmtId="0" fontId="0" fillId="0" borderId="19" xfId="0" applyBorder="1" applyAlignment="1">
      <alignment wrapText="1"/>
    </xf>
    <xf numFmtId="0" fontId="0" fillId="0" borderId="20"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10" borderId="38" xfId="0" applyFill="1" applyBorder="1" applyAlignment="1">
      <alignment vertical="center" wrapText="1"/>
    </xf>
    <xf numFmtId="0" fontId="0" fillId="10" borderId="39" xfId="0" applyFill="1" applyBorder="1" applyAlignment="1">
      <alignment vertical="center" wrapText="1"/>
    </xf>
    <xf numFmtId="0" fontId="0" fillId="10" borderId="40" xfId="0" applyFill="1" applyBorder="1" applyAlignment="1">
      <alignment vertical="center" wrapText="1"/>
    </xf>
    <xf numFmtId="0" fontId="0" fillId="10" borderId="41" xfId="0" applyFill="1" applyBorder="1" applyAlignment="1">
      <alignment vertical="center" wrapText="1"/>
    </xf>
    <xf numFmtId="0" fontId="0" fillId="10" borderId="42" xfId="0" applyFill="1" applyBorder="1" applyAlignment="1">
      <alignment vertical="center" wrapText="1"/>
    </xf>
    <xf numFmtId="0" fontId="0" fillId="10" borderId="43" xfId="0" applyFill="1" applyBorder="1" applyAlignment="1">
      <alignment vertical="center" wrapText="1"/>
    </xf>
    <xf numFmtId="0" fontId="0" fillId="7" borderId="18" xfId="0" applyFill="1" applyBorder="1" applyAlignment="1">
      <alignment vertical="center" wrapText="1"/>
    </xf>
    <xf numFmtId="0" fontId="0" fillId="7" borderId="19" xfId="0" applyFill="1" applyBorder="1" applyAlignment="1">
      <alignment vertical="center" wrapText="1"/>
    </xf>
    <xf numFmtId="0" fontId="0" fillId="7" borderId="20" xfId="0" applyFill="1" applyBorder="1" applyAlignment="1">
      <alignment vertical="center" wrapText="1"/>
    </xf>
    <xf numFmtId="0" fontId="0" fillId="7" borderId="16" xfId="0" applyFill="1" applyBorder="1" applyAlignment="1">
      <alignment vertical="center" wrapText="1"/>
    </xf>
    <xf numFmtId="0" fontId="0" fillId="7" borderId="17" xfId="0" applyFill="1" applyBorder="1" applyAlignment="1">
      <alignment vertical="center" wrapText="1"/>
    </xf>
    <xf numFmtId="0" fontId="0" fillId="7" borderId="21" xfId="0" applyFill="1" applyBorder="1" applyAlignment="1">
      <alignment vertical="center" wrapText="1"/>
    </xf>
    <xf numFmtId="0" fontId="0" fillId="7" borderId="22" xfId="0" applyFill="1" applyBorder="1" applyAlignment="1">
      <alignment vertical="center" wrapText="1"/>
    </xf>
    <xf numFmtId="0" fontId="0" fillId="7" borderId="0" xfId="0" applyFill="1" applyAlignment="1">
      <alignment vertical="center" wrapText="1"/>
    </xf>
    <xf numFmtId="0" fontId="0" fillId="7" borderId="23" xfId="0" applyFill="1" applyBorder="1" applyAlignment="1">
      <alignment vertical="center" wrapText="1"/>
    </xf>
    <xf numFmtId="0" fontId="0" fillId="7" borderId="31" xfId="0" applyFill="1" applyBorder="1" applyAlignment="1">
      <alignment vertical="center" wrapText="1"/>
    </xf>
    <xf numFmtId="0" fontId="0" fillId="7" borderId="44" xfId="0" applyFill="1" applyBorder="1" applyAlignment="1">
      <alignment vertical="center" wrapText="1"/>
    </xf>
    <xf numFmtId="0" fontId="0" fillId="7" borderId="32" xfId="0" applyFill="1" applyBorder="1" applyAlignment="1">
      <alignment vertical="center" wrapText="1"/>
    </xf>
    <xf numFmtId="0" fontId="0" fillId="7" borderId="35" xfId="0" applyFill="1" applyBorder="1" applyAlignment="1">
      <alignment vertical="center" wrapText="1"/>
    </xf>
    <xf numFmtId="0" fontId="0" fillId="7" borderId="45" xfId="0" applyFill="1" applyBorder="1" applyAlignment="1">
      <alignment vertical="center" wrapText="1"/>
    </xf>
    <xf numFmtId="0" fontId="0" fillId="7" borderId="36" xfId="0" applyFill="1" applyBorder="1" applyAlignment="1">
      <alignment vertical="center" wrapText="1"/>
    </xf>
    <xf numFmtId="0" fontId="0" fillId="3" borderId="16" xfId="0" applyFill="1" applyBorder="1" applyAlignment="1">
      <alignment horizontal="right" wrapText="1"/>
    </xf>
    <xf numFmtId="0" fontId="0" fillId="3" borderId="17" xfId="0" applyFill="1" applyBorder="1" applyAlignment="1">
      <alignment horizontal="right" wrapText="1"/>
    </xf>
    <xf numFmtId="0" fontId="0" fillId="7" borderId="46" xfId="0" applyFill="1" applyBorder="1" applyAlignment="1">
      <alignment horizontal="right" wrapText="1"/>
    </xf>
    <xf numFmtId="0" fontId="0" fillId="7" borderId="47" xfId="0" applyFill="1" applyBorder="1" applyAlignment="1">
      <alignment horizontal="right" wrapText="1"/>
    </xf>
    <xf numFmtId="0" fontId="3" fillId="9" borderId="14" xfId="0" applyFont="1" applyFill="1" applyBorder="1" applyAlignment="1">
      <alignment horizontal="center" wrapText="1"/>
    </xf>
    <xf numFmtId="0" fontId="0" fillId="9" borderId="15" xfId="0" applyFill="1" applyBorder="1" applyAlignment="1">
      <alignment horizontal="center" wrapText="1"/>
    </xf>
    <xf numFmtId="0" fontId="0" fillId="0" borderId="37" xfId="0" applyBorder="1" applyAlignment="1">
      <alignment horizontal="center" wrapText="1"/>
    </xf>
    <xf numFmtId="0" fontId="0" fillId="0" borderId="48" xfId="0" applyBorder="1" applyAlignment="1">
      <alignment horizontal="center" wrapText="1"/>
    </xf>
    <xf numFmtId="0" fontId="0" fillId="0" borderId="49" xfId="0" applyBorder="1" applyAlignment="1">
      <alignment horizontal="center" wrapText="1"/>
    </xf>
    <xf numFmtId="0" fontId="0" fillId="10" borderId="22" xfId="0" applyFill="1" applyBorder="1" applyAlignment="1">
      <alignment wrapText="1"/>
    </xf>
    <xf numFmtId="0" fontId="0" fillId="10" borderId="0" xfId="0" applyFill="1" applyAlignment="1">
      <alignment wrapText="1"/>
    </xf>
    <xf numFmtId="0" fontId="0" fillId="10" borderId="23" xfId="0" applyFill="1" applyBorder="1" applyAlignment="1">
      <alignment wrapText="1"/>
    </xf>
    <xf numFmtId="0" fontId="0" fillId="10" borderId="16" xfId="0" applyFill="1" applyBorder="1" applyAlignment="1">
      <alignment wrapText="1"/>
    </xf>
    <xf numFmtId="0" fontId="0" fillId="10" borderId="17" xfId="0" applyFill="1" applyBorder="1" applyAlignment="1">
      <alignment wrapText="1"/>
    </xf>
    <xf numFmtId="0" fontId="0" fillId="10" borderId="21" xfId="0" applyFill="1" applyBorder="1" applyAlignment="1">
      <alignment wrapText="1"/>
    </xf>
    <xf numFmtId="0" fontId="18" fillId="18" borderId="14" xfId="0" applyFont="1" applyFill="1" applyBorder="1" applyAlignment="1">
      <alignment horizontal="center"/>
    </xf>
    <xf numFmtId="0" fontId="18" fillId="18" borderId="15" xfId="0" applyFont="1" applyFill="1" applyBorder="1" applyAlignment="1">
      <alignment horizontal="center"/>
    </xf>
    <xf numFmtId="0" fontId="0" fillId="10" borderId="19" xfId="0" applyFill="1" applyBorder="1" applyAlignment="1">
      <alignment vertical="center" wrapText="1"/>
    </xf>
    <xf numFmtId="0" fontId="0" fillId="10" borderId="20" xfId="0" applyFill="1" applyBorder="1" applyAlignment="1">
      <alignment vertical="center" wrapText="1"/>
    </xf>
    <xf numFmtId="0" fontId="0" fillId="10" borderId="22" xfId="0" applyFill="1" applyBorder="1" applyAlignment="1">
      <alignment vertical="center" wrapText="1"/>
    </xf>
    <xf numFmtId="0" fontId="0" fillId="10" borderId="0" xfId="0" applyFill="1" applyAlignment="1">
      <alignment vertical="center" wrapText="1"/>
    </xf>
    <xf numFmtId="0" fontId="0" fillId="10" borderId="23" xfId="0" applyFill="1" applyBorder="1" applyAlignment="1">
      <alignment vertical="center" wrapText="1"/>
    </xf>
  </cellXfs>
  <cellStyles count="3">
    <cellStyle name="Euro" xfId="1" xr:uid="{00000000-0005-0000-0000-000000000000}"/>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MX"/>
              <a:t>Evolución de la TIR</a:t>
            </a:r>
          </a:p>
        </c:rich>
      </c:tx>
      <c:layout>
        <c:manualLayout>
          <c:xMode val="edge"/>
          <c:yMode val="edge"/>
          <c:x val="0.34718877744193954"/>
          <c:y val="3.5335689045936397E-2"/>
        </c:manualLayout>
      </c:layout>
      <c:overlay val="0"/>
      <c:spPr>
        <a:noFill/>
        <a:ln w="25400">
          <a:noFill/>
        </a:ln>
      </c:spPr>
    </c:title>
    <c:autoTitleDeleted val="0"/>
    <c:plotArea>
      <c:layout>
        <c:manualLayout>
          <c:layoutTarget val="inner"/>
          <c:xMode val="edge"/>
          <c:yMode val="edge"/>
          <c:x val="0.12224953469964699"/>
          <c:y val="0.15901087506017259"/>
          <c:w val="0.68704238501201598"/>
          <c:h val="0.69611427526342218"/>
        </c:manualLayout>
      </c:layout>
      <c:lineChart>
        <c:grouping val="standard"/>
        <c:varyColors val="0"/>
        <c:ser>
          <c:idx val="0"/>
          <c:order val="0"/>
          <c:spPr>
            <a:ln w="38100">
              <a:solidFill>
                <a:srgbClr val="000080"/>
              </a:solidFill>
              <a:prstDash val="solid"/>
            </a:ln>
          </c:spPr>
          <c:marker>
            <c:symbol val="none"/>
          </c:marker>
          <c:val>
            <c:numRef>
              <c:f>Bono14!$D$50:$D$514</c:f>
              <c:numCache>
                <c:formatCode>0.0000000%</c:formatCode>
                <c:ptCount val="465"/>
                <c:pt idx="0">
                  <c:v>-5.0123204406659072E-3</c:v>
                </c:pt>
                <c:pt idx="1">
                  <c:v>-1.9720808780601118E-3</c:v>
                </c:pt>
                <c:pt idx="2">
                  <c:v>-1.9720808769020381E-3</c:v>
                </c:pt>
                <c:pt idx="3">
                  <c:v>6.7941279018879364E-4</c:v>
                </c:pt>
                <c:pt idx="4">
                  <c:v>6.7941279081740191E-4</c:v>
                </c:pt>
                <c:pt idx="5">
                  <c:v>3.0046529567016034E-3</c:v>
                </c:pt>
                <c:pt idx="6">
                  <c:v>3.0046529570564307E-3</c:v>
                </c:pt>
                <c:pt idx="7">
                  <c:v>5.0540092897208844E-3</c:v>
                </c:pt>
                <c:pt idx="8">
                  <c:v>5.054009289928052E-3</c:v>
                </c:pt>
                <c:pt idx="9">
                  <c:v>6.868464637854288E-3</c:v>
                </c:pt>
                <c:pt idx="10">
                  <c:v>6.8684646379795211E-3</c:v>
                </c:pt>
                <c:pt idx="11">
                  <c:v>8.4816523500734764E-3</c:v>
                </c:pt>
                <c:pt idx="12">
                  <c:v>8.4816523501516361E-3</c:v>
                </c:pt>
                <c:pt idx="13">
                  <c:v>9.9213926736902991E-3</c:v>
                </c:pt>
                <c:pt idx="14">
                  <c:v>9.9213926737400371E-3</c:v>
                </c:pt>
                <c:pt idx="15">
                  <c:v>1.1210864887956973E-2</c:v>
                </c:pt>
                <c:pt idx="16">
                  <c:v>1.1210864887989613E-2</c:v>
                </c:pt>
                <c:pt idx="17">
                  <c:v>1.2369511112704901E-2</c:v>
                </c:pt>
                <c:pt idx="18">
                  <c:v>1.2369511112726883E-2</c:v>
                </c:pt>
                <c:pt idx="19">
                  <c:v>1.3413740101890559E-2</c:v>
                </c:pt>
                <c:pt idx="20">
                  <c:v>1.3413740101905658E-2</c:v>
                </c:pt>
                <c:pt idx="21">
                  <c:v>1.4357480296244951E-2</c:v>
                </c:pt>
                <c:pt idx="22">
                  <c:v>1.4357480296255387E-2</c:v>
                </c:pt>
                <c:pt idx="23">
                  <c:v>1.521261810864516E-2</c:v>
                </c:pt>
                <c:pt idx="24">
                  <c:v>1.5212618108652709E-2</c:v>
                </c:pt>
                <c:pt idx="25">
                  <c:v>1.5989348000606807E-2</c:v>
                </c:pt>
                <c:pt idx="26">
                  <c:v>1.5989348000612136E-2</c:v>
                </c:pt>
                <c:pt idx="27">
                  <c:v>1.669645416222254E-2</c:v>
                </c:pt>
                <c:pt idx="28">
                  <c:v>1.6696454162226537E-2</c:v>
                </c:pt>
                <c:pt idx="29">
                  <c:v>1.734153871946531E-2</c:v>
                </c:pt>
                <c:pt idx="30">
                  <c:v>1.7341538719468419E-2</c:v>
                </c:pt>
                <c:pt idx="31">
                  <c:v>1.7931207812944328E-2</c:v>
                </c:pt>
                <c:pt idx="32">
                  <c:v>1.7931207812946326E-2</c:v>
                </c:pt>
                <c:pt idx="33">
                  <c:v>1.8471224244691609E-2</c:v>
                </c:pt>
                <c:pt idx="34">
                  <c:v>1.8471224244693385E-2</c:v>
                </c:pt>
                <c:pt idx="35">
                  <c:v>1.8966633413380896E-2</c:v>
                </c:pt>
                <c:pt idx="36">
                  <c:v>1.8966633413382228E-2</c:v>
                </c:pt>
                <c:pt idx="37">
                  <c:v>1.9421867770384349E-2</c:v>
                </c:pt>
                <c:pt idx="38">
                  <c:v>1.9421867770385459E-2</c:v>
                </c:pt>
                <c:pt idx="39">
                  <c:v>1.9840833899513965E-2</c:v>
                </c:pt>
                <c:pt idx="40">
                  <c:v>1.9840833899514632E-2</c:v>
                </c:pt>
                <c:pt idx="41">
                  <c:v>2.0226985459127933E-2</c:v>
                </c:pt>
                <c:pt idx="42">
                  <c:v>2.0226985459128821E-2</c:v>
                </c:pt>
                <c:pt idx="43">
                  <c:v>2.058338455936215E-2</c:v>
                </c:pt>
                <c:pt idx="44">
                  <c:v>2.0583384559362816E-2</c:v>
                </c:pt>
                <c:pt idx="45">
                  <c:v>2.0912753630492942E-2</c:v>
                </c:pt>
                <c:pt idx="46">
                  <c:v>2.0912753630493386E-2</c:v>
                </c:pt>
                <c:pt idx="47">
                  <c:v>2.1217519434862497E-2</c:v>
                </c:pt>
                <c:pt idx="48">
                  <c:v>2.1217519434862719E-2</c:v>
                </c:pt>
                <c:pt idx="49">
                  <c:v>2.1499850557587408E-2</c:v>
                </c:pt>
                <c:pt idx="50">
                  <c:v>2.149985055758763E-2</c:v>
                </c:pt>
                <c:pt idx="51">
                  <c:v>2.1761689460522815E-2</c:v>
                </c:pt>
                <c:pt idx="52">
                  <c:v>2.1761689460523037E-2</c:v>
                </c:pt>
                <c:pt idx="53">
                  <c:v>2.2004779984594602E-2</c:v>
                </c:pt>
                <c:pt idx="54">
                  <c:v>2.2004779984594824E-2</c:v>
                </c:pt>
                <c:pt idx="55">
                  <c:v>2.2230691026270177E-2</c:v>
                </c:pt>
                <c:pt idx="56">
                  <c:v>2.2230691026270177E-2</c:v>
                </c:pt>
                <c:pt idx="57">
                  <c:v>2.2440836985934798E-2</c:v>
                </c:pt>
                <c:pt idx="58">
                  <c:v>2.244083698593502E-2</c:v>
                </c:pt>
                <c:pt idx="59">
                  <c:v>2.2636495482601271E-2</c:v>
                </c:pt>
                <c:pt idx="60">
                  <c:v>2.2636495482601493E-2</c:v>
                </c:pt>
                <c:pt idx="61">
                  <c:v>2.2818822745568568E-2</c:v>
                </c:pt>
                <c:pt idx="62">
                  <c:v>2.281882274556879E-2</c:v>
                </c:pt>
                <c:pt idx="63">
                  <c:v>2.2988867025368398E-2</c:v>
                </c:pt>
                <c:pt idx="64">
                  <c:v>2.298886702536862E-2</c:v>
                </c:pt>
                <c:pt idx="65">
                  <c:v>2.3147580310479698E-2</c:v>
                </c:pt>
                <c:pt idx="66">
                  <c:v>2.314758031047992E-2</c:v>
                </c:pt>
                <c:pt idx="67">
                  <c:v>2.3295828590399248E-2</c:v>
                </c:pt>
                <c:pt idx="68">
                  <c:v>2.329582859039947E-2</c:v>
                </c:pt>
                <c:pt idx="69">
                  <c:v>2.3434400867808902E-2</c:v>
                </c:pt>
                <c:pt idx="70">
                  <c:v>2.3434400867808902E-2</c:v>
                </c:pt>
                <c:pt idx="71">
                  <c:v>2.3564017091260103E-2</c:v>
                </c:pt>
                <c:pt idx="72">
                  <c:v>2.3564017091260103E-2</c:v>
                </c:pt>
                <c:pt idx="73">
                  <c:v>2.3685335153752929E-2</c:v>
                </c:pt>
                <c:pt idx="74">
                  <c:v>2.3685335153752707E-2</c:v>
                </c:pt>
                <c:pt idx="75">
                  <c:v>2.3798957080897853E-2</c:v>
                </c:pt>
                <c:pt idx="76">
                  <c:v>2.3798957080898075E-2</c:v>
                </c:pt>
                <c:pt idx="77">
                  <c:v>2.3905434514188251E-2</c:v>
                </c:pt>
                <c:pt idx="78">
                  <c:v>2.3905434514188473E-2</c:v>
                </c:pt>
                <c:pt idx="79">
                  <c:v>2.4005273579676523E-2</c:v>
                </c:pt>
                <c:pt idx="80">
                  <c:v>2.4005273579676523E-2</c:v>
                </c:pt>
                <c:pt idx="81">
                  <c:v>2.409893921952877E-2</c:v>
                </c:pt>
                <c:pt idx="82">
                  <c:v>2.409893921952877E-2</c:v>
                </c:pt>
                <c:pt idx="83">
                  <c:v>2.4186859053093812E-2</c:v>
                </c:pt>
                <c:pt idx="84">
                  <c:v>2.4186859053093812E-2</c:v>
                </c:pt>
                <c:pt idx="85">
                  <c:v>2.4269426824962359E-2</c:v>
                </c:pt>
                <c:pt idx="86">
                  <c:v>2.4269426824962803E-2</c:v>
                </c:pt>
                <c:pt idx="87">
                  <c:v>2.434700548969837E-2</c:v>
                </c:pt>
                <c:pt idx="88">
                  <c:v>2.4347005489698592E-2</c:v>
                </c:pt>
                <c:pt idx="89">
                  <c:v>2.4419929976296162E-2</c:v>
                </c:pt>
                <c:pt idx="90">
                  <c:v>2.4419929976296162E-2</c:v>
                </c:pt>
                <c:pt idx="91">
                  <c:v>2.4488509669761349E-2</c:v>
                </c:pt>
                <c:pt idx="92">
                  <c:v>2.4488509669761349E-2</c:v>
                </c:pt>
                <c:pt idx="93">
                  <c:v>2.4553030642364915E-2</c:v>
                </c:pt>
                <c:pt idx="94">
                  <c:v>2.4553030642364693E-2</c:v>
                </c:pt>
                <c:pt idx="95">
                  <c:v>2.4613757662961477E-2</c:v>
                </c:pt>
                <c:pt idx="96">
                  <c:v>2.4613757662961699E-2</c:v>
                </c:pt>
                <c:pt idx="97">
                  <c:v>2.4670936009200783E-2</c:v>
                </c:pt>
                <c:pt idx="98">
                  <c:v>2.4670936009200783E-2</c:v>
                </c:pt>
                <c:pt idx="99">
                  <c:v>2.4724793104361042E-2</c:v>
                </c:pt>
                <c:pt idx="100">
                  <c:v>2.4724793104361042E-2</c:v>
                </c:pt>
                <c:pt idx="101">
                  <c:v>2.4775539997897944E-2</c:v>
                </c:pt>
                <c:pt idx="102">
                  <c:v>2.4775539997897944E-2</c:v>
                </c:pt>
                <c:pt idx="103">
                  <c:v>2.4823372703900892E-2</c:v>
                </c:pt>
                <c:pt idx="104">
                  <c:v>2.482337270647017E-2</c:v>
                </c:pt>
                <c:pt idx="105">
                  <c:v>2.4868473427911875E-2</c:v>
                </c:pt>
                <c:pt idx="106">
                  <c:v>2.4868473430242677E-2</c:v>
                </c:pt>
                <c:pt idx="107">
                  <c:v>2.4911011655348814E-2</c:v>
                </c:pt>
                <c:pt idx="108">
                  <c:v>2.4911011657463122E-2</c:v>
                </c:pt>
                <c:pt idx="109">
                  <c:v>2.4951145166978383E-2</c:v>
                </c:pt>
                <c:pt idx="110">
                  <c:v>2.4951145168897071E-2</c:v>
                </c:pt>
                <c:pt idx="111">
                  <c:v>2.4989020950541896E-2</c:v>
                </c:pt>
                <c:pt idx="112">
                  <c:v>2.498902095228317E-2</c:v>
                </c:pt>
                <c:pt idx="113">
                  <c:v>2.5024776034301643E-2</c:v>
                </c:pt>
                <c:pt idx="114">
                  <c:v>2.5024776035882601E-2</c:v>
                </c:pt>
                <c:pt idx="115">
                  <c:v>2.5058538247720419E-2</c:v>
                </c:pt>
                <c:pt idx="116">
                  <c:v>2.5058538249155937E-2</c:v>
                </c:pt>
                <c:pt idx="117">
                  <c:v>2.509042691642005E-2</c:v>
                </c:pt>
                <c:pt idx="118">
                  <c:v>2.5090426917723896E-2</c:v>
                </c:pt>
                <c:pt idx="119">
                  <c:v>2.512055349780784E-2</c:v>
                </c:pt>
                <c:pt idx="120">
                  <c:v>2.5120553498991782E-2</c:v>
                </c:pt>
                <c:pt idx="121">
                  <c:v>2.5149022163039714E-2</c:v>
                </c:pt>
                <c:pt idx="122">
                  <c:v>2.514902216411552E-2</c:v>
                </c:pt>
                <c:pt idx="123">
                  <c:v>2.5175930330422647E-2</c:v>
                </c:pt>
                <c:pt idx="124">
                  <c:v>2.5175930331399865E-2</c:v>
                </c:pt>
                <c:pt idx="125">
                  <c:v>2.5201369154789877E-2</c:v>
                </c:pt>
                <c:pt idx="126">
                  <c:v>2.5201369155677833E-2</c:v>
                </c:pt>
                <c:pt idx="127">
                  <c:v>2.5225423976932726E-2</c:v>
                </c:pt>
                <c:pt idx="128">
                  <c:v>2.5225423977739192E-2</c:v>
                </c:pt>
                <c:pt idx="129">
                  <c:v>2.5248174736742568E-2</c:v>
                </c:pt>
                <c:pt idx="130">
                  <c:v>2.5248174737475537E-2</c:v>
                </c:pt>
                <c:pt idx="131">
                  <c:v>2.5269696353350524E-2</c:v>
                </c:pt>
                <c:pt idx="132">
                  <c:v>2.5269696354016435E-2</c:v>
                </c:pt>
                <c:pt idx="133">
                  <c:v>2.5290059075216309E-2</c:v>
                </c:pt>
                <c:pt idx="134">
                  <c:v>2.5290059075821159E-2</c:v>
                </c:pt>
                <c:pt idx="135">
                  <c:v>2.5309328802831432E-2</c:v>
                </c:pt>
                <c:pt idx="136">
                  <c:v>2.5309328803381215E-2</c:v>
                </c:pt>
                <c:pt idx="137">
                  <c:v>2.5327567386433714E-2</c:v>
                </c:pt>
                <c:pt idx="138">
                  <c:v>2.5327567386933536E-2</c:v>
                </c:pt>
                <c:pt idx="139">
                  <c:v>2.5344832900901615E-2</c:v>
                </c:pt>
                <c:pt idx="140">
                  <c:v>2.5344832901355474E-2</c:v>
                </c:pt>
                <c:pt idx="141">
                  <c:v>2.5361179899783037E-2</c:v>
                </c:pt>
                <c:pt idx="142">
                  <c:v>2.5361179900195818E-2</c:v>
                </c:pt>
                <c:pt idx="143">
                  <c:v>2.5376659650236277E-2</c:v>
                </c:pt>
                <c:pt idx="144">
                  <c:v>2.5376659650611089E-2</c:v>
                </c:pt>
                <c:pt idx="145">
                  <c:v>2.539132035047853E-2</c:v>
                </c:pt>
                <c:pt idx="146">
                  <c:v>2.5391320350819369E-2</c:v>
                </c:pt>
                <c:pt idx="147">
                  <c:v>2.5405207331206325E-2</c:v>
                </c:pt>
                <c:pt idx="148">
                  <c:v>2.5405207331515633E-2</c:v>
                </c:pt>
                <c:pt idx="149">
                  <c:v>2.5418363242301512E-2</c:v>
                </c:pt>
                <c:pt idx="150">
                  <c:v>2.541836324258262E-2</c:v>
                </c:pt>
                <c:pt idx="151">
                  <c:v>2.5430828226025159E-2</c:v>
                </c:pt>
                <c:pt idx="152">
                  <c:v>2.5430828226280733E-2</c:v>
                </c:pt>
                <c:pt idx="153">
                  <c:v>2.5442640077793399E-2</c:v>
                </c:pt>
                <c:pt idx="154">
                  <c:v>2.5442640078025436E-2</c:v>
                </c:pt>
                <c:pt idx="155">
                  <c:v>2.5453834395521735E-2</c:v>
                </c:pt>
                <c:pt idx="156">
                  <c:v>2.5453834395732899E-2</c:v>
                </c:pt>
                <c:pt idx="157">
                  <c:v>2.5464444718452217E-2</c:v>
                </c:pt>
                <c:pt idx="158">
                  <c:v>2.5464444718643398E-2</c:v>
                </c:pt>
                <c:pt idx="159">
                  <c:v>2.5474502656277931E-2</c:v>
                </c:pt>
                <c:pt idx="160">
                  <c:v>2.5474502656451792E-2</c:v>
                </c:pt>
                <c:pt idx="161">
                  <c:v>2.5484038009333521E-2</c:v>
                </c:pt>
                <c:pt idx="162">
                  <c:v>2.5484038009491616E-2</c:v>
                </c:pt>
                <c:pt idx="163">
                  <c:v>2.5493078880526099E-2</c:v>
                </c:pt>
                <c:pt idx="164">
                  <c:v>2.549307888066954E-2</c:v>
                </c:pt>
                <c:pt idx="165">
                  <c:v>2.5501651779643808E-2</c:v>
                </c:pt>
                <c:pt idx="166">
                  <c:v>2.5501651779773704E-2</c:v>
                </c:pt>
                <c:pt idx="167">
                  <c:v>2.5509781720619129E-2</c:v>
                </c:pt>
                <c:pt idx="168">
                  <c:v>2.5509781720737257E-2</c:v>
                </c:pt>
                <c:pt idx="169">
                  <c:v>2.5517492312274959E-2</c:v>
                </c:pt>
                <c:pt idx="170">
                  <c:v>2.5517492312382428E-2</c:v>
                </c:pt>
                <c:pt idx="171">
                  <c:v>2.5524805843033294E-2</c:v>
                </c:pt>
                <c:pt idx="172">
                  <c:v>2.5524805843130993E-2</c:v>
                </c:pt>
                <c:pt idx="173">
                  <c:v>2.5531743360037495E-2</c:v>
                </c:pt>
                <c:pt idx="174">
                  <c:v>2.5531743360125869E-2</c:v>
                </c:pt>
                <c:pt idx="175">
                  <c:v>2.5538324743092033E-2</c:v>
                </c:pt>
                <c:pt idx="176">
                  <c:v>2.5538324743172636E-2</c:v>
                </c:pt>
                <c:pt idx="177">
                  <c:v>2.5544568773798959E-2</c:v>
                </c:pt>
                <c:pt idx="178">
                  <c:v>2.554456877387179E-2</c:v>
                </c:pt>
                <c:pt idx="179">
                  <c:v>2.5550493200228841E-2</c:v>
                </c:pt>
                <c:pt idx="180">
                  <c:v>2.5550493200295232E-2</c:v>
                </c:pt>
                <c:pt idx="181">
                  <c:v>2.5556114797455232E-2</c:v>
                </c:pt>
                <c:pt idx="182">
                  <c:v>2.5556114797515184E-2</c:v>
                </c:pt>
                <c:pt idx="183">
                  <c:v>2.5561449424232885E-2</c:v>
                </c:pt>
                <c:pt idx="184">
                  <c:v>2.5561449424287508E-2</c:v>
                </c:pt>
                <c:pt idx="185">
                  <c:v>2.5566512076099723E-2</c:v>
                </c:pt>
                <c:pt idx="186">
                  <c:v>2.5566512076149239E-2</c:v>
                </c:pt>
                <c:pt idx="187">
                  <c:v>2.5571316935145694E-2</c:v>
                </c:pt>
                <c:pt idx="188">
                  <c:v>2.5571316935190769E-2</c:v>
                </c:pt>
                <c:pt idx="189">
                  <c:v>2.5575877416679438E-2</c:v>
                </c:pt>
                <c:pt idx="190">
                  <c:v>2.5575877416720072E-2</c:v>
                </c:pt>
                <c:pt idx="191">
                  <c:v>2.558020621300594E-2</c:v>
                </c:pt>
                <c:pt idx="192">
                  <c:v>2.5580206213043022E-2</c:v>
                </c:pt>
                <c:pt idx="193">
                  <c:v>2.5584315334511443E-2</c:v>
                </c:pt>
                <c:pt idx="194">
                  <c:v>2.5584315334545193E-2</c:v>
                </c:pt>
                <c:pt idx="195">
                  <c:v>2.5588216148236365E-2</c:v>
                </c:pt>
                <c:pt idx="196">
                  <c:v>2.5588216148267007E-2</c:v>
                </c:pt>
                <c:pt idx="197">
                  <c:v>2.5591919414103659E-2</c:v>
                </c:pt>
                <c:pt idx="198">
                  <c:v>2.5591919414131192E-2</c:v>
                </c:pt>
                <c:pt idx="199">
                  <c:v>2.5595435318959581E-2</c:v>
                </c:pt>
                <c:pt idx="200">
                  <c:v>2.5595435318984672E-2</c:v>
                </c:pt>
                <c:pt idx="201">
                  <c:v>2.559877350857076E-2</c:v>
                </c:pt>
                <c:pt idx="202">
                  <c:v>2.5598773508593409E-2</c:v>
                </c:pt>
                <c:pt idx="203">
                  <c:v>2.5601943117712578E-2</c:v>
                </c:pt>
                <c:pt idx="204">
                  <c:v>2.5601943117733228E-2</c:v>
                </c:pt>
                <c:pt idx="205">
                  <c:v>2.5604952798467862E-2</c:v>
                </c:pt>
                <c:pt idx="206">
                  <c:v>2.5604952798486513E-2</c:v>
                </c:pt>
                <c:pt idx="207">
                  <c:v>2.5607810746858473E-2</c:v>
                </c:pt>
                <c:pt idx="208">
                  <c:v>2.5607810746875348E-2</c:v>
                </c:pt>
                <c:pt idx="209">
                  <c:v>2.5610524727911477E-2</c:v>
                </c:pt>
                <c:pt idx="210">
                  <c:v>2.561052472792702E-2</c:v>
                </c:pt>
                <c:pt idx="211">
                  <c:v>2.5613102099262708E-2</c:v>
                </c:pt>
                <c:pt idx="212">
                  <c:v>2.5613102099276697E-2</c:v>
                </c:pt>
                <c:pt idx="213">
                  <c:v>2.5615549833386098E-2</c:v>
                </c:pt>
                <c:pt idx="214">
                  <c:v>2.5615549833398532E-2</c:v>
                </c:pt>
                <c:pt idx="215">
                  <c:v>2.5617874538540697E-2</c:v>
                </c:pt>
                <c:pt idx="216">
                  <c:v>2.5617874538552021E-2</c:v>
                </c:pt>
                <c:pt idx="217">
                  <c:v>2.5620082478511552E-2</c:v>
                </c:pt>
                <c:pt idx="218">
                  <c:v>2.562008247852221E-2</c:v>
                </c:pt>
                <c:pt idx="219">
                  <c:v>2.5622179591219707E-2</c:v>
                </c:pt>
                <c:pt idx="220">
                  <c:v>2.5622179591229033E-2</c:v>
                </c:pt>
                <c:pt idx="221">
                  <c:v>2.5624171506271942E-2</c:v>
                </c:pt>
                <c:pt idx="222">
                  <c:v>2.562417150628038E-2</c:v>
                </c:pt>
                <c:pt idx="223">
                  <c:v>2.5626063561514867E-2</c:v>
                </c:pt>
                <c:pt idx="224">
                  <c:v>2.5626063561522638E-2</c:v>
                </c:pt>
                <c:pt idx="225">
                  <c:v>2.5627860818655313E-2</c:v>
                </c:pt>
                <c:pt idx="226">
                  <c:v>2.5627860818662418E-2</c:v>
                </c:pt>
                <c:pt idx="227">
                  <c:v>2.5629568077999876E-2</c:v>
                </c:pt>
                <c:pt idx="228">
                  <c:v>2.5629568078006315E-2</c:v>
                </c:pt>
                <c:pt idx="229">
                  <c:v>2.5631189892370898E-2</c:v>
                </c:pt>
                <c:pt idx="230">
                  <c:v>2.5631189892376671E-2</c:v>
                </c:pt>
                <c:pt idx="231">
                  <c:v>2.5632730580245955E-2</c:v>
                </c:pt>
                <c:pt idx="232">
                  <c:v>2.5632730580251062E-2</c:v>
                </c:pt>
                <c:pt idx="233">
                  <c:v>2.5634194238166597E-2</c:v>
                </c:pt>
                <c:pt idx="234">
                  <c:v>2.5634194238171704E-2</c:v>
                </c:pt>
                <c:pt idx="235">
                  <c:v>2.5635584752463636E-2</c:v>
                </c:pt>
                <c:pt idx="236">
                  <c:v>2.5635584752467633E-2</c:v>
                </c:pt>
                <c:pt idx="237">
                  <c:v>2.5636905810329624E-2</c:v>
                </c:pt>
                <c:pt idx="238">
                  <c:v>2.5636905810333399E-2</c:v>
                </c:pt>
                <c:pt idx="239">
                  <c:v>2.5638160910291585E-2</c:v>
                </c:pt>
                <c:pt idx="240">
                  <c:v>2.5638160910295138E-2</c:v>
                </c:pt>
                <c:pt idx="241">
                  <c:v>2.5639353372104434E-2</c:v>
                </c:pt>
                <c:pt idx="242">
                  <c:v>2.5639353372107543E-2</c:v>
                </c:pt>
                <c:pt idx="243">
                  <c:v>2.5640486346106162E-2</c:v>
                </c:pt>
                <c:pt idx="244">
                  <c:v>2.564048634610927E-2</c:v>
                </c:pt>
                <c:pt idx="245">
                  <c:v>2.5641562822067643E-2</c:v>
                </c:pt>
                <c:pt idx="246">
                  <c:v>2.5641562822070307E-2</c:v>
                </c:pt>
                <c:pt idx="247">
                  <c:v>2.564258563755839E-2</c:v>
                </c:pt>
                <c:pt idx="248">
                  <c:v>2.5642585637560833E-2</c:v>
                </c:pt>
                <c:pt idx="249">
                  <c:v>2.5643557485863999E-2</c:v>
                </c:pt>
                <c:pt idx="250">
                  <c:v>2.564355748586622E-2</c:v>
                </c:pt>
                <c:pt idx="251">
                  <c:v>2.564448092347682E-2</c:v>
                </c:pt>
                <c:pt idx="252">
                  <c:v>2.5644480923478596E-2</c:v>
                </c:pt>
                <c:pt idx="253">
                  <c:v>2.5645358377182292E-2</c:v>
                </c:pt>
                <c:pt idx="254">
                  <c:v>2.5645358377184069E-2</c:v>
                </c:pt>
                <c:pt idx="255">
                  <c:v>2.5646192150769798E-2</c:v>
                </c:pt>
                <c:pt idx="256">
                  <c:v>2.5646192150771352E-2</c:v>
                </c:pt>
                <c:pt idx="257">
                  <c:v>2.5646984431382691E-2</c:v>
                </c:pt>
                <c:pt idx="258">
                  <c:v>2.5646984431384023E-2</c:v>
                </c:pt>
                <c:pt idx="259">
                  <c:v>2.5647737295530604E-2</c:v>
                </c:pt>
                <c:pt idx="260">
                  <c:v>2.5647737295531936E-2</c:v>
                </c:pt>
                <c:pt idx="261">
                  <c:v>2.5648452714783998E-2</c:v>
                </c:pt>
                <c:pt idx="262">
                  <c:v>2.5648452714784886E-2</c:v>
                </c:pt>
                <c:pt idx="263">
                  <c:v>2.5649132561165855E-2</c:v>
                </c:pt>
                <c:pt idx="264">
                  <c:v>2.5649132561166743E-2</c:v>
                </c:pt>
                <c:pt idx="265">
                  <c:v>2.5649778612260032E-2</c:v>
                </c:pt>
                <c:pt idx="266">
                  <c:v>2.5649778612260921E-2</c:v>
                </c:pt>
                <c:pt idx="267">
                  <c:v>2.5650392556048729E-2</c:v>
                </c:pt>
                <c:pt idx="268">
                  <c:v>2.5650392556049617E-2</c:v>
                </c:pt>
                <c:pt idx="269">
                  <c:v>2.5650975995497483E-2</c:v>
                </c:pt>
                <c:pt idx="270">
                  <c:v>2.5650975995498371E-2</c:v>
                </c:pt>
                <c:pt idx="271">
                  <c:v>2.5651530452898808E-2</c:v>
                </c:pt>
                <c:pt idx="272">
                  <c:v>2.5651530452899474E-2</c:v>
                </c:pt>
                <c:pt idx="273">
                  <c:v>2.5652057373988013E-2</c:v>
                </c:pt>
                <c:pt idx="274">
                  <c:v>2.5652057373988901E-2</c:v>
                </c:pt>
                <c:pt idx="275">
                  <c:v>2.5652558131846082E-2</c:v>
                </c:pt>
                <c:pt idx="276">
                  <c:v>2.5652558131846748E-2</c:v>
                </c:pt>
                <c:pt idx="277">
                  <c:v>2.5653034030596489E-2</c:v>
                </c:pt>
                <c:pt idx="278">
                  <c:v>2.5653034030596933E-2</c:v>
                </c:pt>
                <c:pt idx="279">
                  <c:v>2.5653486308911955E-2</c:v>
                </c:pt>
                <c:pt idx="280">
                  <c:v>2.5653486308912399E-2</c:v>
                </c:pt>
                <c:pt idx="281">
                  <c:v>2.5653916143338895E-2</c:v>
                </c:pt>
                <c:pt idx="282">
                  <c:v>2.5653916143339339E-2</c:v>
                </c:pt>
                <c:pt idx="283">
                  <c:v>2.5654324651448013E-2</c:v>
                </c:pt>
                <c:pt idx="284">
                  <c:v>2.5654324651448457E-2</c:v>
                </c:pt>
                <c:pt idx="285">
                  <c:v>2.5654712894823906E-2</c:v>
                </c:pt>
                <c:pt idx="286">
                  <c:v>2.5654712894824128E-2</c:v>
                </c:pt>
                <c:pt idx="287">
                  <c:v>2.56550818818988E-2</c:v>
                </c:pt>
                <c:pt idx="288">
                  <c:v>2.5655081881899244E-2</c:v>
                </c:pt>
                <c:pt idx="289">
                  <c:v>2.5655432570642178E-2</c:v>
                </c:pt>
                <c:pt idx="290">
                  <c:v>2.56554325706424E-2</c:v>
                </c:pt>
                <c:pt idx="291">
                  <c:v>2.5655765871109182E-2</c:v>
                </c:pt>
                <c:pt idx="292">
                  <c:v>2.5655765871109404E-2</c:v>
                </c:pt>
                <c:pt idx="293">
                  <c:v>2.5656082647861345E-2</c:v>
                </c:pt>
                <c:pt idx="294">
                  <c:v>2.5656082647861345E-2</c:v>
                </c:pt>
                <c:pt idx="295">
                  <c:v>2.5656383722259424E-2</c:v>
                </c:pt>
                <c:pt idx="296">
                  <c:v>2.5656383722259868E-2</c:v>
                </c:pt>
                <c:pt idx="297">
                  <c:v>2.565666987464299E-2</c:v>
                </c:pt>
                <c:pt idx="298">
                  <c:v>2.5656669874643434E-2</c:v>
                </c:pt>
                <c:pt idx="299">
                  <c:v>2.5656941846394998E-2</c:v>
                </c:pt>
                <c:pt idx="300">
                  <c:v>2.5656941846394998E-2</c:v>
                </c:pt>
                <c:pt idx="301">
                  <c:v>2.5657200341901998E-2</c:v>
                </c:pt>
                <c:pt idx="302">
                  <c:v>2.565720034190222E-2</c:v>
                </c:pt>
                <c:pt idx="303">
                  <c:v>2.5657446030415754E-2</c:v>
                </c:pt>
                <c:pt idx="304">
                  <c:v>2.5657446030415976E-2</c:v>
                </c:pt>
                <c:pt idx="305">
                  <c:v>2.5657679547817835E-2</c:v>
                </c:pt>
                <c:pt idx="306">
                  <c:v>2.5657679547818057E-2</c:v>
                </c:pt>
                <c:pt idx="307">
                  <c:v>2.565790149829561E-2</c:v>
                </c:pt>
                <c:pt idx="308">
                  <c:v>2.565790149829561E-2</c:v>
                </c:pt>
                <c:pt idx="309">
                  <c:v>2.5658112455932747E-2</c:v>
                </c:pt>
                <c:pt idx="310">
                  <c:v>2.5658112455932747E-2</c:v>
                </c:pt>
                <c:pt idx="311">
                  <c:v>2.5658312966218899E-2</c:v>
                </c:pt>
                <c:pt idx="312">
                  <c:v>2.5658312966219121E-2</c:v>
                </c:pt>
                <c:pt idx="313">
                  <c:v>2.5658503547483669E-2</c:v>
                </c:pt>
                <c:pt idx="314">
                  <c:v>2.5658503547483891E-2</c:v>
                </c:pt>
                <c:pt idx="315">
                  <c:v>2.5658684692256184E-2</c:v>
                </c:pt>
                <c:pt idx="316">
                  <c:v>2.5658684692256406E-2</c:v>
                </c:pt>
                <c:pt idx="317">
                  <c:v>2.5658856868556512E-2</c:v>
                </c:pt>
                <c:pt idx="318">
                  <c:v>2.5658856868556512E-2</c:v>
                </c:pt>
                <c:pt idx="319">
                  <c:v>2.5659020521123566E-2</c:v>
                </c:pt>
                <c:pt idx="320">
                  <c:v>2.5659020521123788E-2</c:v>
                </c:pt>
                <c:pt idx="321">
                  <c:v>2.5659176072577727E-2</c:v>
                </c:pt>
                <c:pt idx="322">
                  <c:v>2.5659176072577949E-2</c:v>
                </c:pt>
                <c:pt idx="323">
                  <c:v>2.5659323924528188E-2</c:v>
                </c:pt>
                <c:pt idx="324">
                  <c:v>2.5659323924528188E-2</c:v>
                </c:pt>
                <c:pt idx="325">
                  <c:v>2.5659464458620995E-2</c:v>
                </c:pt>
                <c:pt idx="326">
                  <c:v>2.5659464458620995E-2</c:v>
                </c:pt>
                <c:pt idx="327">
                  <c:v>2.5659598037537146E-2</c:v>
                </c:pt>
                <c:pt idx="328">
                  <c:v>2.5659598037537146E-2</c:v>
                </c:pt>
                <c:pt idx="329">
                  <c:v>2.5659725005939382E-2</c:v>
                </c:pt>
                <c:pt idx="330">
                  <c:v>2.5659725005939604E-2</c:v>
                </c:pt>
                <c:pt idx="331">
                  <c:v>2.5659845691370808E-2</c:v>
                </c:pt>
                <c:pt idx="332">
                  <c:v>2.5659845691370808E-2</c:v>
                </c:pt>
                <c:pt idx="333">
                  <c:v>2.5659960405108428E-2</c:v>
                </c:pt>
                <c:pt idx="334">
                  <c:v>2.5659960405108428E-2</c:v>
                </c:pt>
                <c:pt idx="335">
                  <c:v>2.5660069442975164E-2</c:v>
                </c:pt>
                <c:pt idx="336">
                  <c:v>2.5660069442975386E-2</c:v>
                </c:pt>
                <c:pt idx="337">
                  <c:v>2.5660173086109683E-2</c:v>
                </c:pt>
                <c:pt idx="338">
                  <c:v>2.5660173086109683E-2</c:v>
                </c:pt>
                <c:pt idx="339">
                  <c:v>2.5660271601697149E-2</c:v>
                </c:pt>
                <c:pt idx="340">
                  <c:v>2.5660271601697149E-2</c:v>
                </c:pt>
                <c:pt idx="341">
                  <c:v>2.566036524366555E-2</c:v>
                </c:pt>
                <c:pt idx="342">
                  <c:v>2.5660365243665328E-2</c:v>
                </c:pt>
                <c:pt idx="343">
                  <c:v>2.5660454253344733E-2</c:v>
                </c:pt>
                <c:pt idx="344">
                  <c:v>2.5660454253344733E-2</c:v>
                </c:pt>
                <c:pt idx="345">
                  <c:v>2.5660538860093896E-2</c:v>
                </c:pt>
                <c:pt idx="346">
                  <c:v>2.5660538860094118E-2</c:v>
                </c:pt>
                <c:pt idx="347">
                  <c:v>2.5660619281897556E-2</c:v>
                </c:pt>
                <c:pt idx="348">
                  <c:v>2.5660619281897779E-2</c:v>
                </c:pt>
                <c:pt idx="349">
                  <c:v>2.5660695725930438E-2</c:v>
                </c:pt>
                <c:pt idx="350">
                  <c:v>2.5660695725930438E-2</c:v>
                </c:pt>
                <c:pt idx="351">
                  <c:v>2.5660768389095256E-2</c:v>
                </c:pt>
                <c:pt idx="352">
                  <c:v>2.5660768389095256E-2</c:v>
                </c:pt>
                <c:pt idx="353">
                  <c:v>2.5660837458534758E-2</c:v>
                </c:pt>
                <c:pt idx="354">
                  <c:v>2.566083745853498E-2</c:v>
                </c:pt>
                <c:pt idx="355">
                  <c:v>2.5660903112114664E-2</c:v>
                </c:pt>
                <c:pt idx="356">
                  <c:v>2.5660903112114664E-2</c:v>
                </c:pt>
                <c:pt idx="357">
                  <c:v>2.5660965518886414E-2</c:v>
                </c:pt>
                <c:pt idx="358">
                  <c:v>2.5660965518886636E-2</c:v>
                </c:pt>
                <c:pt idx="359">
                  <c:v>2.5661024839524149E-2</c:v>
                </c:pt>
                <c:pt idx="360">
                  <c:v>2.5661024839524371E-2</c:v>
                </c:pt>
                <c:pt idx="361">
                  <c:v>2.5661081226740823E-2</c:v>
                </c:pt>
                <c:pt idx="362">
                  <c:v>2.5661081226741045E-2</c:v>
                </c:pt>
                <c:pt idx="363">
                  <c:v>2.5661134825684329E-2</c:v>
                </c:pt>
                <c:pt idx="364">
                  <c:v>2.5661134825684551E-2</c:v>
                </c:pt>
                <c:pt idx="365">
                  <c:v>2.566118577431209E-2</c:v>
                </c:pt>
                <c:pt idx="366">
                  <c:v>2.566118577431209E-2</c:v>
                </c:pt>
                <c:pt idx="367">
                  <c:v>2.5661234203748107E-2</c:v>
                </c:pt>
                <c:pt idx="368">
                  <c:v>2.5661234203748107E-2</c:v>
                </c:pt>
                <c:pt idx="369">
                  <c:v>2.5661280238622908E-2</c:v>
                </c:pt>
                <c:pt idx="370">
                  <c:v>2.5661280238622908E-2</c:v>
                </c:pt>
                <c:pt idx="371">
                  <c:v>2.5661323997394847E-2</c:v>
                </c:pt>
                <c:pt idx="372">
                  <c:v>2.5661323997394847E-2</c:v>
                </c:pt>
                <c:pt idx="373">
                  <c:v>2.5661365592656971E-2</c:v>
                </c:pt>
                <c:pt idx="374">
                  <c:v>2.5661365592656971E-2</c:v>
                </c:pt>
                <c:pt idx="375">
                  <c:v>2.5661405131427006E-2</c:v>
                </c:pt>
                <c:pt idx="376">
                  <c:v>2.5661405131427006E-2</c:v>
                </c:pt>
                <c:pt idx="377">
                  <c:v>2.5661442715425364E-2</c:v>
                </c:pt>
                <c:pt idx="378">
                  <c:v>2.5661442715425142E-2</c:v>
                </c:pt>
                <c:pt idx="379">
                  <c:v>2.5661478441336039E-2</c:v>
                </c:pt>
                <c:pt idx="380">
                  <c:v>2.5661478441335817E-2</c:v>
                </c:pt>
                <c:pt idx="381">
                  <c:v>2.5661512401057518E-2</c:v>
                </c:pt>
                <c:pt idx="382">
                  <c:v>2.566151240105774E-2</c:v>
                </c:pt>
                <c:pt idx="383">
                  <c:v>2.5661544681940152E-2</c:v>
                </c:pt>
                <c:pt idx="384">
                  <c:v>2.5661544681940152E-2</c:v>
                </c:pt>
                <c:pt idx="385">
                  <c:v>2.5661575367010414E-2</c:v>
                </c:pt>
                <c:pt idx="386">
                  <c:v>2.5661575367010192E-2</c:v>
                </c:pt>
                <c:pt idx="387">
                  <c:v>2.5661604535186067E-2</c:v>
                </c:pt>
                <c:pt idx="388">
                  <c:v>2.5661604535186067E-2</c:v>
                </c:pt>
                <c:pt idx="389">
                  <c:v>2.566163226147955E-2</c:v>
                </c:pt>
                <c:pt idx="390">
                  <c:v>2.5661632261479772E-2</c:v>
                </c:pt>
                <c:pt idx="391">
                  <c:v>2.5661658617191829E-2</c:v>
                </c:pt>
                <c:pt idx="392">
                  <c:v>2.5661658617192051E-2</c:v>
                </c:pt>
                <c:pt idx="393">
                  <c:v>2.5661683670095581E-2</c:v>
                </c:pt>
                <c:pt idx="394">
                  <c:v>2.5661683670095581E-2</c:v>
                </c:pt>
                <c:pt idx="395">
                  <c:v>2.5661707484610163E-2</c:v>
                </c:pt>
                <c:pt idx="396">
                  <c:v>2.5661707484610385E-2</c:v>
                </c:pt>
                <c:pt idx="397">
                  <c:v>2.5661730121968374E-2</c:v>
                </c:pt>
                <c:pt idx="398">
                  <c:v>2.5661730121968152E-2</c:v>
                </c:pt>
                <c:pt idx="399">
                  <c:v>2.5661751640372987E-2</c:v>
                </c:pt>
                <c:pt idx="400">
                  <c:v>2.5661751640372987E-2</c:v>
                </c:pt>
                <c:pt idx="401">
                  <c:v>2.5661772095147972E-2</c:v>
                </c:pt>
                <c:pt idx="402">
                  <c:v>2.5661772095148194E-2</c:v>
                </c:pt>
                <c:pt idx="403">
                  <c:v>2.566179153888104E-2</c:v>
                </c:pt>
                <c:pt idx="404">
                  <c:v>2.566179153888104E-2</c:v>
                </c:pt>
                <c:pt idx="405">
                  <c:v>2.5661810021557763E-2</c:v>
                </c:pt>
                <c:pt idx="406">
                  <c:v>2.5661810021557763E-2</c:v>
                </c:pt>
                <c:pt idx="407">
                  <c:v>2.5661827590692132E-2</c:v>
                </c:pt>
                <c:pt idx="408">
                  <c:v>2.566182759069191E-2</c:v>
                </c:pt>
                <c:pt idx="409">
                  <c:v>2.5661844291447355E-2</c:v>
                </c:pt>
                <c:pt idx="410">
                  <c:v>2.5661844291447355E-2</c:v>
                </c:pt>
                <c:pt idx="411">
                  <c:v>2.5661860166753536E-2</c:v>
                </c:pt>
                <c:pt idx="412">
                  <c:v>2.5661860166753758E-2</c:v>
                </c:pt>
                <c:pt idx="413">
                  <c:v>2.5661875257417588E-2</c:v>
                </c:pt>
                <c:pt idx="414">
                  <c:v>2.5661875257417588E-2</c:v>
                </c:pt>
                <c:pt idx="415">
                  <c:v>2.5661889602228038E-2</c:v>
                </c:pt>
                <c:pt idx="416">
                  <c:v>2.5661889602228261E-2</c:v>
                </c:pt>
                <c:pt idx="417">
                  <c:v>2.5661903238055395E-2</c:v>
                </c:pt>
                <c:pt idx="418">
                  <c:v>2.5661903238055617E-2</c:v>
                </c:pt>
                <c:pt idx="419">
                  <c:v>2.5661916199946955E-2</c:v>
                </c:pt>
                <c:pt idx="420">
                  <c:v>2.5661916199946955E-2</c:v>
                </c:pt>
                <c:pt idx="421">
                  <c:v>2.5661928521216959E-2</c:v>
                </c:pt>
                <c:pt idx="422">
                  <c:v>2.5661928521216959E-2</c:v>
                </c:pt>
                <c:pt idx="423">
                  <c:v>2.5661940233531855E-2</c:v>
                </c:pt>
                <c:pt idx="424">
                  <c:v>2.5661940233531855E-2</c:v>
                </c:pt>
                <c:pt idx="425">
                  <c:v>2.5661951366993119E-2</c:v>
                </c:pt>
                <c:pt idx="426">
                  <c:v>2.5661951366992897E-2</c:v>
                </c:pt>
                <c:pt idx="427">
                  <c:v>2.5661961950213197E-2</c:v>
                </c:pt>
                <c:pt idx="428">
                  <c:v>2.5661961950212975E-2</c:v>
                </c:pt>
                <c:pt idx="429">
                  <c:v>2.5661972010390111E-2</c:v>
                </c:pt>
                <c:pt idx="430">
                  <c:v>2.5661972010390111E-2</c:v>
                </c:pt>
                <c:pt idx="431">
                  <c:v>2.5661981573377401E-2</c:v>
                </c:pt>
                <c:pt idx="432">
                  <c:v>2.5661981573377401E-2</c:v>
                </c:pt>
                <c:pt idx="433">
                  <c:v>2.5661990663750078E-2</c:v>
                </c:pt>
                <c:pt idx="434">
                  <c:v>2.5661990663750078E-2</c:v>
                </c:pt>
                <c:pt idx="435">
                  <c:v>2.5661999304867678E-2</c:v>
                </c:pt>
                <c:pt idx="436">
                  <c:v>2.5661999304867678E-2</c:v>
                </c:pt>
                <c:pt idx="437">
                  <c:v>2.5662007518936214E-2</c:v>
                </c:pt>
                <c:pt idx="438">
                  <c:v>2.5662007518936214E-2</c:v>
                </c:pt>
                <c:pt idx="439">
                  <c:v>2.5662015327062804E-2</c:v>
                </c:pt>
                <c:pt idx="440">
                  <c:v>2.5662015327062582E-2</c:v>
                </c:pt>
                <c:pt idx="441">
                  <c:v>2.5662022749310731E-2</c:v>
                </c:pt>
                <c:pt idx="442">
                  <c:v>2.5662022749310731E-2</c:v>
                </c:pt>
                <c:pt idx="443">
                  <c:v>2.5662029804753184E-2</c:v>
                </c:pt>
                <c:pt idx="444">
                  <c:v>2.5662029804753184E-2</c:v>
                </c:pt>
                <c:pt idx="445">
                  <c:v>2.5662036511518549E-2</c:v>
                </c:pt>
                <c:pt idx="446">
                  <c:v>2.5662036511518549E-2</c:v>
                </c:pt>
                <c:pt idx="447">
                  <c:v>2.5662042886840153E-2</c:v>
                </c:pt>
                <c:pt idx="448">
                  <c:v>2.5662042886840153E-2</c:v>
                </c:pt>
                <c:pt idx="449">
                  <c:v>2.5662048947099558E-2</c:v>
                </c:pt>
                <c:pt idx="450">
                  <c:v>2.5662048947099558E-2</c:v>
                </c:pt>
                <c:pt idx="451">
                  <c:v>2.5662054707867865E-2</c:v>
                </c:pt>
                <c:pt idx="452">
                  <c:v>2.5662054707867865E-2</c:v>
                </c:pt>
                <c:pt idx="453">
                  <c:v>2.5662060183946789E-2</c:v>
                </c:pt>
                <c:pt idx="454">
                  <c:v>2.5662060183946789E-2</c:v>
                </c:pt>
                <c:pt idx="455">
                  <c:v>2.5662065389406186E-2</c:v>
                </c:pt>
                <c:pt idx="456">
                  <c:v>2.5662065389405964E-2</c:v>
                </c:pt>
                <c:pt idx="457">
                  <c:v>2.5662070337620912E-2</c:v>
                </c:pt>
                <c:pt idx="458">
                  <c:v>2.5662070337620912E-2</c:v>
                </c:pt>
                <c:pt idx="459">
                  <c:v>2.5662075041304577E-2</c:v>
                </c:pt>
                <c:pt idx="460">
                  <c:v>2.5662075041304355E-2</c:v>
                </c:pt>
                <c:pt idx="461">
                  <c:v>2.5662079512541958E-2</c:v>
                </c:pt>
                <c:pt idx="462">
                  <c:v>2.5662079512541958E-2</c:v>
                </c:pt>
                <c:pt idx="463">
                  <c:v>2.5662083762820753E-2</c:v>
                </c:pt>
                <c:pt idx="464">
                  <c:v>2.5662083762820975E-2</c:v>
                </c:pt>
              </c:numCache>
            </c:numRef>
          </c:val>
          <c:smooth val="0"/>
          <c:extLst>
            <c:ext xmlns:c16="http://schemas.microsoft.com/office/drawing/2014/chart" uri="{C3380CC4-5D6E-409C-BE32-E72D297353CC}">
              <c16:uniqueId val="{00000000-E62C-4084-BCD6-A0DFCA466C5F}"/>
            </c:ext>
          </c:extLst>
        </c:ser>
        <c:dLbls>
          <c:showLegendKey val="0"/>
          <c:showVal val="0"/>
          <c:showCatName val="0"/>
          <c:showSerName val="0"/>
          <c:showPercent val="0"/>
          <c:showBubbleSize val="0"/>
        </c:dLbls>
        <c:smooth val="0"/>
        <c:axId val="1959901647"/>
        <c:axId val="1"/>
      </c:lineChart>
      <c:catAx>
        <c:axId val="1959901647"/>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MX"/>
          </a:p>
        </c:txPr>
        <c:crossAx val="1"/>
        <c:crosses val="autoZero"/>
        <c:auto val="1"/>
        <c:lblAlgn val="ctr"/>
        <c:lblOffset val="100"/>
        <c:tickLblSkip val="37"/>
        <c:tickMarkSkip val="1"/>
        <c:noMultiLvlLbl val="0"/>
      </c:catAx>
      <c:valAx>
        <c:axId val="1"/>
        <c:scaling>
          <c:orientation val="minMax"/>
          <c:min val="0"/>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MX"/>
          </a:p>
        </c:txPr>
        <c:crossAx val="1959901647"/>
        <c:crosses val="autoZero"/>
        <c:crossBetween val="between"/>
      </c:valAx>
      <c:spPr>
        <a:solidFill>
          <a:srgbClr val="FFFF99"/>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s-MX"/>
    </a:p>
  </c:txPr>
  <c:printSettings>
    <c:headerFooter alignWithMargins="0"/>
    <c:pageMargins b="1" l="0.75" r="0.75" t="1" header="0" footer="0"/>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19</xdr:row>
      <xdr:rowOff>133350</xdr:rowOff>
    </xdr:from>
    <xdr:to>
      <xdr:col>11</xdr:col>
      <xdr:colOff>514350</xdr:colOff>
      <xdr:row>34</xdr:row>
      <xdr:rowOff>9525</xdr:rowOff>
    </xdr:to>
    <xdr:pic>
      <xdr:nvPicPr>
        <xdr:cNvPr id="5133" name="Picture 6">
          <a:extLst>
            <a:ext uri="{FF2B5EF4-FFF2-40B4-BE49-F238E27FC236}">
              <a16:creationId xmlns:a16="http://schemas.microsoft.com/office/drawing/2014/main" id="{6C119F2E-2C64-431B-9C99-94A8A52A5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14775" y="3438525"/>
          <a:ext cx="3771900" cy="23622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647700</xdr:colOff>
      <xdr:row>10</xdr:row>
      <xdr:rowOff>161925</xdr:rowOff>
    </xdr:from>
    <xdr:to>
      <xdr:col>8</xdr:col>
      <xdr:colOff>752475</xdr:colOff>
      <xdr:row>19</xdr:row>
      <xdr:rowOff>76200</xdr:rowOff>
    </xdr:to>
    <xdr:pic>
      <xdr:nvPicPr>
        <xdr:cNvPr id="6157" name="Picture 6">
          <a:extLst>
            <a:ext uri="{FF2B5EF4-FFF2-40B4-BE49-F238E27FC236}">
              <a16:creationId xmlns:a16="http://schemas.microsoft.com/office/drawing/2014/main" id="{231C34EB-B2CF-41C5-8934-FB2E902FF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62425" y="1943100"/>
          <a:ext cx="2390775" cy="14001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85725</xdr:colOff>
      <xdr:row>12</xdr:row>
      <xdr:rowOff>76200</xdr:rowOff>
    </xdr:from>
    <xdr:to>
      <xdr:col>9</xdr:col>
      <xdr:colOff>0</xdr:colOff>
      <xdr:row>26</xdr:row>
      <xdr:rowOff>104775</xdr:rowOff>
    </xdr:to>
    <xdr:pic>
      <xdr:nvPicPr>
        <xdr:cNvPr id="7180" name="Picture 5">
          <a:extLst>
            <a:ext uri="{FF2B5EF4-FFF2-40B4-BE49-F238E27FC236}">
              <a16:creationId xmlns:a16="http://schemas.microsoft.com/office/drawing/2014/main" id="{4722DEF3-719A-4CEB-A90A-A2D8FE290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0" y="2200275"/>
          <a:ext cx="3724275" cy="2324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504825</xdr:colOff>
      <xdr:row>27</xdr:row>
      <xdr:rowOff>133350</xdr:rowOff>
    </xdr:from>
    <xdr:to>
      <xdr:col>10</xdr:col>
      <xdr:colOff>600075</xdr:colOff>
      <xdr:row>44</xdr:row>
      <xdr:rowOff>76200</xdr:rowOff>
    </xdr:to>
    <xdr:graphicFrame macro="">
      <xdr:nvGraphicFramePr>
        <xdr:cNvPr id="10259" name="Gráfico 1">
          <a:extLst>
            <a:ext uri="{FF2B5EF4-FFF2-40B4-BE49-F238E27FC236}">
              <a16:creationId xmlns:a16="http://schemas.microsoft.com/office/drawing/2014/main" id="{55305B24-5B4A-4601-8711-04A5239D4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381000</xdr:colOff>
      <xdr:row>16</xdr:row>
      <xdr:rowOff>104775</xdr:rowOff>
    </xdr:from>
    <xdr:to>
      <xdr:col>12</xdr:col>
      <xdr:colOff>542925</xdr:colOff>
      <xdr:row>28</xdr:row>
      <xdr:rowOff>9525</xdr:rowOff>
    </xdr:to>
    <xdr:pic>
      <xdr:nvPicPr>
        <xdr:cNvPr id="10260" name="Picture 6">
          <a:extLst>
            <a:ext uri="{FF2B5EF4-FFF2-40B4-BE49-F238E27FC236}">
              <a16:creationId xmlns:a16="http://schemas.microsoft.com/office/drawing/2014/main" id="{19E29F04-E8D4-4A9E-A2CE-0E32A4B287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81625" y="2933700"/>
          <a:ext cx="2952750" cy="18478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314325</xdr:colOff>
      <xdr:row>28</xdr:row>
      <xdr:rowOff>0</xdr:rowOff>
    </xdr:from>
    <xdr:to>
      <xdr:col>2</xdr:col>
      <xdr:colOff>400050</xdr:colOff>
      <xdr:row>30</xdr:row>
      <xdr:rowOff>28575</xdr:rowOff>
    </xdr:to>
    <xdr:sp macro="" textlink="">
      <xdr:nvSpPr>
        <xdr:cNvPr id="11287" name="AutoShape 1">
          <a:extLst>
            <a:ext uri="{FF2B5EF4-FFF2-40B4-BE49-F238E27FC236}">
              <a16:creationId xmlns:a16="http://schemas.microsoft.com/office/drawing/2014/main" id="{D6843AD7-8AB5-4B99-A33A-0C735358C564}"/>
            </a:ext>
          </a:extLst>
        </xdr:cNvPr>
        <xdr:cNvSpPr>
          <a:spLocks/>
        </xdr:cNvSpPr>
      </xdr:nvSpPr>
      <xdr:spPr bwMode="auto">
        <a:xfrm>
          <a:off x="1343025" y="4829175"/>
          <a:ext cx="85725" cy="390525"/>
        </a:xfrm>
        <a:prstGeom prst="rightBrace">
          <a:avLst>
            <a:gd name="adj1" fmla="val 3796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xdr:col>
      <xdr:colOff>476250</xdr:colOff>
      <xdr:row>28</xdr:row>
      <xdr:rowOff>76200</xdr:rowOff>
    </xdr:from>
    <xdr:to>
      <xdr:col>2</xdr:col>
      <xdr:colOff>800100</xdr:colOff>
      <xdr:row>29</xdr:row>
      <xdr:rowOff>57150</xdr:rowOff>
    </xdr:to>
    <xdr:sp macro="" textlink="">
      <xdr:nvSpPr>
        <xdr:cNvPr id="11288" name="AutoShape 2">
          <a:extLst>
            <a:ext uri="{FF2B5EF4-FFF2-40B4-BE49-F238E27FC236}">
              <a16:creationId xmlns:a16="http://schemas.microsoft.com/office/drawing/2014/main" id="{F53DAC36-5E31-4CC8-8841-0B447D9997DC}"/>
            </a:ext>
          </a:extLst>
        </xdr:cNvPr>
        <xdr:cNvSpPr>
          <a:spLocks noChangeArrowheads="1"/>
        </xdr:cNvSpPr>
      </xdr:nvSpPr>
      <xdr:spPr bwMode="auto">
        <a:xfrm>
          <a:off x="1504950" y="4905375"/>
          <a:ext cx="323850" cy="161925"/>
        </a:xfrm>
        <a:prstGeom prst="rightArrow">
          <a:avLst>
            <a:gd name="adj1" fmla="val 50000"/>
            <a:gd name="adj2" fmla="val 50000"/>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104775</xdr:colOff>
      <xdr:row>28</xdr:row>
      <xdr:rowOff>28575</xdr:rowOff>
    </xdr:from>
    <xdr:to>
      <xdr:col>5</xdr:col>
      <xdr:colOff>400050</xdr:colOff>
      <xdr:row>29</xdr:row>
      <xdr:rowOff>9525</xdr:rowOff>
    </xdr:to>
    <xdr:sp macro="" textlink="">
      <xdr:nvSpPr>
        <xdr:cNvPr id="11289" name="AutoShape 3">
          <a:extLst>
            <a:ext uri="{FF2B5EF4-FFF2-40B4-BE49-F238E27FC236}">
              <a16:creationId xmlns:a16="http://schemas.microsoft.com/office/drawing/2014/main" id="{EC19A8E8-37D7-4B76-9862-D882036119E9}"/>
            </a:ext>
          </a:extLst>
        </xdr:cNvPr>
        <xdr:cNvSpPr>
          <a:spLocks noChangeArrowheads="1"/>
        </xdr:cNvSpPr>
      </xdr:nvSpPr>
      <xdr:spPr bwMode="auto">
        <a:xfrm>
          <a:off x="4095750" y="4857750"/>
          <a:ext cx="295275" cy="161925"/>
        </a:xfrm>
        <a:prstGeom prst="rightArrow">
          <a:avLst>
            <a:gd name="adj1" fmla="val 50000"/>
            <a:gd name="adj2" fmla="val 45588"/>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5.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J42"/>
  <sheetViews>
    <sheetView showGridLines="0" topLeftCell="A19" workbookViewId="0">
      <selection activeCell="G2" sqref="G2"/>
    </sheetView>
  </sheetViews>
  <sheetFormatPr baseColWidth="10" defaultRowHeight="13.2" x14ac:dyDescent="0.25"/>
  <cols>
    <col min="1" max="1" width="2.5546875" customWidth="1"/>
    <col min="4" max="4" width="12.109375" bestFit="1" customWidth="1"/>
    <col min="5" max="5" width="9.33203125" customWidth="1"/>
    <col min="7" max="7" width="12.109375" bestFit="1" customWidth="1"/>
    <col min="9" max="9" width="16.33203125" customWidth="1"/>
  </cols>
  <sheetData>
    <row r="1" spans="1:10" ht="13.8" thickBot="1" x14ac:dyDescent="0.3">
      <c r="A1" s="141" t="s">
        <v>90</v>
      </c>
    </row>
    <row r="2" spans="1:10" ht="21" customHeight="1" thickBot="1" x14ac:dyDescent="0.3">
      <c r="B2" s="275" t="str">
        <f ca="1">RIGHT(CELL("nombrearchivo",A1),LEN(CELL("nombrearchivo",A1))-FIND("]",CELL("nombrearchivo",A1)))</f>
        <v>Bono1</v>
      </c>
      <c r="C2" s="276"/>
      <c r="G2" s="180"/>
    </row>
    <row r="4" spans="1:10" ht="17.399999999999999" x14ac:dyDescent="0.3">
      <c r="B4" s="148" t="s">
        <v>153</v>
      </c>
    </row>
    <row r="5" spans="1:10" ht="13.8" thickBot="1" x14ac:dyDescent="0.3"/>
    <row r="6" spans="1:10" x14ac:dyDescent="0.25">
      <c r="B6" s="279" t="s">
        <v>100</v>
      </c>
      <c r="C6" s="280"/>
      <c r="D6" s="280"/>
      <c r="E6" s="280"/>
      <c r="F6" s="280"/>
      <c r="G6" s="280"/>
      <c r="H6" s="280"/>
      <c r="I6" s="281"/>
    </row>
    <row r="7" spans="1:10" ht="13.8" thickBot="1" x14ac:dyDescent="0.3">
      <c r="B7" s="282"/>
      <c r="C7" s="283"/>
      <c r="D7" s="283"/>
      <c r="E7" s="283"/>
      <c r="F7" s="283"/>
      <c r="G7" s="283"/>
      <c r="H7" s="283"/>
      <c r="I7" s="284"/>
    </row>
    <row r="8" spans="1:10" ht="13.8" thickBot="1" x14ac:dyDescent="0.3"/>
    <row r="9" spans="1:10" x14ac:dyDescent="0.25">
      <c r="B9" s="285" t="s">
        <v>138</v>
      </c>
      <c r="C9" s="286"/>
      <c r="D9" s="286"/>
      <c r="E9" s="286"/>
      <c r="F9" s="286"/>
      <c r="G9" s="286"/>
      <c r="H9" s="286"/>
      <c r="I9" s="287"/>
    </row>
    <row r="10" spans="1:10" ht="13.8" thickBot="1" x14ac:dyDescent="0.3">
      <c r="B10" s="288"/>
      <c r="C10" s="289"/>
      <c r="D10" s="289"/>
      <c r="E10" s="289"/>
      <c r="F10" s="289"/>
      <c r="G10" s="289"/>
      <c r="H10" s="289"/>
      <c r="I10" s="290"/>
    </row>
    <row r="11" spans="1:10" ht="13.8" thickBot="1" x14ac:dyDescent="0.3">
      <c r="F11" s="149"/>
    </row>
    <row r="12" spans="1:10" ht="13.8" thickBot="1" x14ac:dyDescent="0.3">
      <c r="B12" s="277" t="s">
        <v>101</v>
      </c>
      <c r="C12" s="278"/>
      <c r="D12" s="25"/>
      <c r="E12" s="25"/>
      <c r="F12" s="150"/>
      <c r="G12" s="25"/>
      <c r="H12" s="25"/>
      <c r="I12" s="25"/>
      <c r="J12" s="151"/>
    </row>
    <row r="13" spans="1:10" ht="13.8" thickBot="1" x14ac:dyDescent="0.3">
      <c r="B13" s="152"/>
      <c r="C13" s="153"/>
      <c r="D13" s="153"/>
      <c r="E13" s="153"/>
      <c r="F13" s="153"/>
      <c r="G13" s="153"/>
      <c r="H13" s="153"/>
      <c r="I13" s="153"/>
      <c r="J13" s="154"/>
    </row>
    <row r="14" spans="1:10" x14ac:dyDescent="0.25">
      <c r="B14" s="152"/>
      <c r="C14" s="155" t="s">
        <v>5</v>
      </c>
      <c r="D14" s="232">
        <v>0.05</v>
      </c>
      <c r="E14" s="153"/>
      <c r="F14" s="159" t="s">
        <v>1</v>
      </c>
      <c r="G14" s="160" t="s">
        <v>2</v>
      </c>
      <c r="H14" s="153"/>
      <c r="I14" s="226" t="s">
        <v>18</v>
      </c>
      <c r="J14" s="154"/>
    </row>
    <row r="15" spans="1:10" ht="13.8" thickBot="1" x14ac:dyDescent="0.3">
      <c r="B15" s="152"/>
      <c r="C15" s="156" t="s">
        <v>3</v>
      </c>
      <c r="D15" s="233">
        <v>100</v>
      </c>
      <c r="E15" s="153"/>
      <c r="F15" s="156">
        <v>0</v>
      </c>
      <c r="G15" s="161" t="s">
        <v>102</v>
      </c>
      <c r="H15" s="157"/>
      <c r="I15" s="229">
        <f>NPV(D17,G16:G18)</f>
        <v>105.65722270978937</v>
      </c>
      <c r="J15" s="154"/>
    </row>
    <row r="16" spans="1:10" x14ac:dyDescent="0.25">
      <c r="B16" s="152"/>
      <c r="C16" s="156" t="s">
        <v>38</v>
      </c>
      <c r="D16" s="234">
        <v>3</v>
      </c>
      <c r="E16" s="153"/>
      <c r="F16" s="156">
        <v>1</v>
      </c>
      <c r="G16" s="162">
        <f>+$D$18</f>
        <v>5</v>
      </c>
      <c r="H16" s="153"/>
      <c r="I16" s="153"/>
      <c r="J16" s="154"/>
    </row>
    <row r="17" spans="2:10" x14ac:dyDescent="0.25">
      <c r="B17" s="152"/>
      <c r="C17" s="156" t="s">
        <v>8</v>
      </c>
      <c r="D17" s="235">
        <v>0.03</v>
      </c>
      <c r="E17" s="153"/>
      <c r="F17" s="156">
        <v>2</v>
      </c>
      <c r="G17" s="162">
        <f>+$D$18</f>
        <v>5</v>
      </c>
      <c r="H17" s="153"/>
      <c r="I17" s="153"/>
      <c r="J17" s="154"/>
    </row>
    <row r="18" spans="2:10" ht="13.8" thickBot="1" x14ac:dyDescent="0.3">
      <c r="B18" s="152"/>
      <c r="C18" s="158" t="s">
        <v>4</v>
      </c>
      <c r="D18" s="236">
        <f>+D14*D15</f>
        <v>5</v>
      </c>
      <c r="E18" s="153"/>
      <c r="F18" s="158">
        <v>3</v>
      </c>
      <c r="G18" s="163">
        <f>+$D$18+D15</f>
        <v>105</v>
      </c>
      <c r="H18" s="153"/>
      <c r="I18" s="153"/>
      <c r="J18" s="154"/>
    </row>
    <row r="19" spans="2:10" ht="13.8" thickBot="1" x14ac:dyDescent="0.3">
      <c r="B19" s="28"/>
      <c r="C19" s="29"/>
      <c r="D19" s="29"/>
      <c r="E19" s="29"/>
      <c r="F19" s="29"/>
      <c r="G19" s="29"/>
      <c r="H19" s="29"/>
      <c r="I19" s="29"/>
      <c r="J19" s="30"/>
    </row>
    <row r="20" spans="2:10" ht="13.8" thickBot="1" x14ac:dyDescent="0.3"/>
    <row r="21" spans="2:10" ht="13.8" thickBot="1" x14ac:dyDescent="0.3">
      <c r="B21" s="277" t="s">
        <v>103</v>
      </c>
      <c r="C21" s="278"/>
      <c r="D21" s="25"/>
      <c r="E21" s="25"/>
      <c r="F21" s="25"/>
      <c r="G21" s="25"/>
      <c r="H21" s="25"/>
      <c r="I21" s="25"/>
      <c r="J21" s="151"/>
    </row>
    <row r="22" spans="2:10" x14ac:dyDescent="0.25">
      <c r="B22" s="152"/>
      <c r="C22" s="153"/>
      <c r="D22" s="153"/>
      <c r="E22" s="153"/>
      <c r="F22" s="291" t="s">
        <v>18</v>
      </c>
      <c r="G22" s="214">
        <f>-PV(D17,D16,D18)+D15/(1+D17)^3</f>
        <v>105.65722270978937</v>
      </c>
      <c r="H22" s="153"/>
      <c r="I22" s="153"/>
      <c r="J22" s="154"/>
    </row>
    <row r="23" spans="2:10" ht="13.8" thickBot="1" x14ac:dyDescent="0.3">
      <c r="B23" s="152"/>
      <c r="C23" s="153"/>
      <c r="D23" s="153"/>
      <c r="E23" s="153"/>
      <c r="F23" s="292"/>
      <c r="G23" s="215">
        <f>PV(D17,D16,-D18,-D15,0)</f>
        <v>105.65722270978935</v>
      </c>
      <c r="H23" s="153"/>
      <c r="I23" s="153"/>
      <c r="J23" s="154"/>
    </row>
    <row r="24" spans="2:10" ht="13.8" thickBot="1" x14ac:dyDescent="0.3">
      <c r="B24" s="28"/>
      <c r="C24" s="29"/>
      <c r="D24" s="29"/>
      <c r="E24" s="29"/>
      <c r="F24" s="29"/>
      <c r="G24" s="29"/>
      <c r="H24" s="29"/>
      <c r="I24" s="29"/>
      <c r="J24" s="30"/>
    </row>
    <row r="25" spans="2:10" ht="13.8" thickBot="1" x14ac:dyDescent="0.3"/>
    <row r="26" spans="2:10" ht="13.8" thickBot="1" x14ac:dyDescent="0.3">
      <c r="B26" s="277" t="s">
        <v>104</v>
      </c>
      <c r="C26" s="278"/>
      <c r="D26" s="25"/>
      <c r="E26" s="25"/>
      <c r="F26" s="25"/>
      <c r="G26" s="25"/>
      <c r="H26" s="25"/>
      <c r="I26" s="25"/>
      <c r="J26" s="151"/>
    </row>
    <row r="27" spans="2:10" ht="13.8" thickBot="1" x14ac:dyDescent="0.3">
      <c r="B27" s="152"/>
      <c r="C27" s="153"/>
      <c r="D27" s="153"/>
      <c r="E27" s="153"/>
      <c r="F27" s="153"/>
      <c r="G27" s="153"/>
      <c r="H27" s="153"/>
      <c r="I27" s="226" t="s">
        <v>18</v>
      </c>
      <c r="J27" s="154"/>
    </row>
    <row r="28" spans="2:10" ht="13.8" thickBot="1" x14ac:dyDescent="0.3">
      <c r="B28" s="152"/>
      <c r="C28" s="159" t="s">
        <v>1</v>
      </c>
      <c r="D28" s="160" t="s">
        <v>2</v>
      </c>
      <c r="E28" s="153"/>
      <c r="F28" s="155" t="s">
        <v>8</v>
      </c>
      <c r="G28" s="237">
        <v>0.03</v>
      </c>
      <c r="H28" s="153"/>
      <c r="I28" s="227">
        <f>PRICE(C29,C32,G29,G28,100,1,4)</f>
        <v>105.65722270978937</v>
      </c>
      <c r="J28" s="154"/>
    </row>
    <row r="29" spans="2:10" ht="13.8" thickBot="1" x14ac:dyDescent="0.3">
      <c r="B29" s="152"/>
      <c r="C29" s="164">
        <v>37622</v>
      </c>
      <c r="D29" s="161" t="s">
        <v>102</v>
      </c>
      <c r="E29" s="153"/>
      <c r="F29" s="158" t="s">
        <v>5</v>
      </c>
      <c r="G29" s="238">
        <v>0.05</v>
      </c>
      <c r="H29" s="153"/>
      <c r="I29" s="153"/>
      <c r="J29" s="154"/>
    </row>
    <row r="30" spans="2:10" x14ac:dyDescent="0.25">
      <c r="B30" s="152"/>
      <c r="C30" s="165">
        <v>37987</v>
      </c>
      <c r="D30" s="162">
        <f>+G16</f>
        <v>5</v>
      </c>
      <c r="E30" s="153"/>
      <c r="F30" s="153"/>
      <c r="G30" s="153"/>
      <c r="H30" s="153"/>
      <c r="I30" s="153"/>
      <c r="J30" s="154"/>
    </row>
    <row r="31" spans="2:10" x14ac:dyDescent="0.25">
      <c r="B31" s="152"/>
      <c r="C31" s="165">
        <v>38353</v>
      </c>
      <c r="D31" s="162">
        <f>+G17</f>
        <v>5</v>
      </c>
      <c r="E31" s="153"/>
      <c r="F31" s="153"/>
      <c r="G31" s="153"/>
      <c r="H31" s="153"/>
      <c r="I31" s="153"/>
      <c r="J31" s="154"/>
    </row>
    <row r="32" spans="2:10" ht="13.8" thickBot="1" x14ac:dyDescent="0.3">
      <c r="B32" s="152"/>
      <c r="C32" s="166">
        <v>38718</v>
      </c>
      <c r="D32" s="163">
        <f>+G18</f>
        <v>105</v>
      </c>
      <c r="E32" s="153"/>
      <c r="F32" s="153"/>
      <c r="G32" s="153"/>
      <c r="H32" s="153"/>
      <c r="I32" s="153"/>
      <c r="J32" s="154"/>
    </row>
    <row r="33" spans="2:10" ht="13.8" thickBot="1" x14ac:dyDescent="0.3">
      <c r="B33" s="28"/>
      <c r="C33" s="29"/>
      <c r="D33" s="29"/>
      <c r="E33" s="29"/>
      <c r="F33" s="29"/>
      <c r="G33" s="29"/>
      <c r="H33" s="29"/>
      <c r="I33" s="29"/>
      <c r="J33" s="30"/>
    </row>
    <row r="34" spans="2:10" ht="13.8" thickBot="1" x14ac:dyDescent="0.3"/>
    <row r="35" spans="2:10" ht="13.8" thickBot="1" x14ac:dyDescent="0.3">
      <c r="B35" s="277" t="s">
        <v>154</v>
      </c>
      <c r="C35" s="278"/>
      <c r="D35" s="25"/>
      <c r="E35" s="25"/>
      <c r="F35" s="150"/>
      <c r="G35" s="25"/>
      <c r="H35" s="25"/>
      <c r="I35" s="25"/>
      <c r="J35" s="151"/>
    </row>
    <row r="36" spans="2:10" ht="13.8" thickBot="1" x14ac:dyDescent="0.3">
      <c r="B36" s="152"/>
      <c r="C36" s="153"/>
      <c r="D36" s="153"/>
      <c r="E36" s="153"/>
      <c r="F36" s="153"/>
      <c r="G36" s="153"/>
      <c r="H36" s="153"/>
      <c r="I36" s="226" t="s">
        <v>18</v>
      </c>
      <c r="J36" s="154"/>
    </row>
    <row r="37" spans="2:10" ht="13.8" thickBot="1" x14ac:dyDescent="0.3">
      <c r="B37" s="152"/>
      <c r="C37" s="155" t="s">
        <v>5</v>
      </c>
      <c r="D37" s="232">
        <v>0.05</v>
      </c>
      <c r="E37" s="153"/>
      <c r="F37" s="159" t="s">
        <v>1</v>
      </c>
      <c r="G37" s="160" t="s">
        <v>2</v>
      </c>
      <c r="H37" s="153"/>
      <c r="I37" s="228">
        <f>-G38</f>
        <v>105.65722271056788</v>
      </c>
      <c r="J37" s="154"/>
    </row>
    <row r="38" spans="2:10" x14ac:dyDescent="0.25">
      <c r="B38" s="152"/>
      <c r="C38" s="156" t="s">
        <v>3</v>
      </c>
      <c r="D38" s="233">
        <v>100</v>
      </c>
      <c r="E38" s="153"/>
      <c r="F38" s="156">
        <v>0</v>
      </c>
      <c r="G38" s="217">
        <v>-105.65722271056788</v>
      </c>
      <c r="H38" s="157"/>
      <c r="I38" s="153"/>
      <c r="J38" s="154"/>
    </row>
    <row r="39" spans="2:10" x14ac:dyDescent="0.25">
      <c r="B39" s="152"/>
      <c r="C39" s="156" t="s">
        <v>38</v>
      </c>
      <c r="D39" s="234">
        <v>3</v>
      </c>
      <c r="E39" s="153"/>
      <c r="F39" s="156">
        <v>1</v>
      </c>
      <c r="G39" s="162">
        <f>$D$41</f>
        <v>5</v>
      </c>
      <c r="H39" s="153"/>
      <c r="I39" s="216" t="s">
        <v>155</v>
      </c>
      <c r="J39" s="230">
        <f>IRR(G38:G41)</f>
        <v>2.9999999997349924E-2</v>
      </c>
    </row>
    <row r="40" spans="2:10" x14ac:dyDescent="0.25">
      <c r="B40" s="152"/>
      <c r="C40" s="156" t="s">
        <v>8</v>
      </c>
      <c r="D40" s="235">
        <v>0.03</v>
      </c>
      <c r="E40" s="153"/>
      <c r="F40" s="156">
        <v>2</v>
      </c>
      <c r="G40" s="162">
        <f>$D$41</f>
        <v>5</v>
      </c>
      <c r="H40" s="153"/>
      <c r="I40" s="216" t="s">
        <v>156</v>
      </c>
      <c r="J40" s="231">
        <f>+J39-D40</f>
        <v>-2.650074604204633E-12</v>
      </c>
    </row>
    <row r="41" spans="2:10" ht="13.8" thickBot="1" x14ac:dyDescent="0.3">
      <c r="B41" s="152"/>
      <c r="C41" s="158" t="s">
        <v>4</v>
      </c>
      <c r="D41" s="236">
        <f>+D37*D38</f>
        <v>5</v>
      </c>
      <c r="E41" s="153"/>
      <c r="F41" s="158">
        <v>3</v>
      </c>
      <c r="G41" s="163">
        <f>$D$41+D38</f>
        <v>105</v>
      </c>
      <c r="H41" s="153"/>
      <c r="I41" s="153"/>
      <c r="J41" s="154"/>
    </row>
    <row r="42" spans="2:10" ht="13.8" thickBot="1" x14ac:dyDescent="0.3">
      <c r="B42" s="28"/>
      <c r="C42" s="29"/>
      <c r="D42" s="29"/>
      <c r="E42" s="29"/>
      <c r="F42" s="29"/>
      <c r="G42" s="29"/>
      <c r="H42" s="29"/>
      <c r="I42" s="29"/>
      <c r="J42" s="30"/>
    </row>
  </sheetData>
  <mergeCells count="8">
    <mergeCell ref="B35:C35"/>
    <mergeCell ref="B26:C26"/>
    <mergeCell ref="B2:C2"/>
    <mergeCell ref="B6:I7"/>
    <mergeCell ref="B9:I10"/>
    <mergeCell ref="B12:C12"/>
    <mergeCell ref="B21:C21"/>
    <mergeCell ref="F22:F23"/>
  </mergeCells>
  <phoneticPr fontId="4" type="noConversion"/>
  <printOptions headings="1"/>
  <pageMargins left="0.78740157480314965" right="0.78740157480314965" top="0.51181102362204722" bottom="0.11811023622047245" header="0" footer="0"/>
  <pageSetup paperSize="9" scale="96" orientation="landscape" verticalDpi="360" r:id="rId1"/>
  <headerFooter alignWithMargins="0">
    <oddFooter>&amp;L&amp;A&amp;C&amp;"Arial,Negrita"www.excelavanzado.com &amp;R&amp;D</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fitToPage="1"/>
  </sheetPr>
  <dimension ref="A1:J36"/>
  <sheetViews>
    <sheetView showGridLines="0" workbookViewId="0">
      <selection activeCell="F2" sqref="F2"/>
    </sheetView>
  </sheetViews>
  <sheetFormatPr baseColWidth="10" defaultRowHeight="13.2" x14ac:dyDescent="0.25"/>
  <cols>
    <col min="1" max="1" width="2.5546875" customWidth="1"/>
    <col min="6" max="6" width="12" customWidth="1"/>
  </cols>
  <sheetData>
    <row r="1" spans="1:9" ht="13.8" thickBot="1" x14ac:dyDescent="0.3">
      <c r="A1" s="141" t="s">
        <v>90</v>
      </c>
    </row>
    <row r="2" spans="1:9" ht="18.75" customHeight="1" thickBot="1" x14ac:dyDescent="0.3">
      <c r="B2" s="275" t="str">
        <f ca="1">RIGHT(CELL("nombrearchivo",A1),LEN(CELL("nombrearchivo",A1))-FIND("]",CELL("nombrearchivo",A1)))</f>
        <v>Bono2</v>
      </c>
      <c r="C2" s="276"/>
      <c r="F2" s="180"/>
    </row>
    <row r="4" spans="1:9" ht="17.399999999999999" x14ac:dyDescent="0.3">
      <c r="B4" s="148" t="s">
        <v>143</v>
      </c>
    </row>
    <row r="5" spans="1:9" ht="13.8" thickBot="1" x14ac:dyDescent="0.3">
      <c r="A5" s="141"/>
    </row>
    <row r="6" spans="1:9" x14ac:dyDescent="0.25">
      <c r="B6" s="260" t="s">
        <v>7</v>
      </c>
      <c r="C6" s="261"/>
      <c r="D6" s="261"/>
      <c r="E6" s="261"/>
      <c r="F6" s="261"/>
      <c r="G6" s="261"/>
      <c r="H6" s="261"/>
      <c r="I6" s="262"/>
    </row>
    <row r="7" spans="1:9" x14ac:dyDescent="0.25">
      <c r="B7" s="263"/>
      <c r="C7" s="264"/>
      <c r="D7" s="264"/>
      <c r="E7" s="264"/>
      <c r="F7" s="264"/>
      <c r="G7" s="264"/>
      <c r="H7" s="264"/>
      <c r="I7" s="265"/>
    </row>
    <row r="8" spans="1:9" x14ac:dyDescent="0.25">
      <c r="B8" s="263"/>
      <c r="C8" s="264"/>
      <c r="D8" s="264"/>
      <c r="E8" s="264"/>
      <c r="F8" s="264"/>
      <c r="G8" s="264"/>
      <c r="H8" s="264"/>
      <c r="I8" s="265"/>
    </row>
    <row r="9" spans="1:9" x14ac:dyDescent="0.25">
      <c r="B9" s="263"/>
      <c r="C9" s="264"/>
      <c r="D9" s="264"/>
      <c r="E9" s="264"/>
      <c r="F9" s="264"/>
      <c r="G9" s="264"/>
      <c r="H9" s="264"/>
      <c r="I9" s="265"/>
    </row>
    <row r="10" spans="1:9" ht="13.8" thickBot="1" x14ac:dyDescent="0.3">
      <c r="B10" s="266"/>
      <c r="C10" s="267"/>
      <c r="D10" s="267"/>
      <c r="E10" s="267"/>
      <c r="F10" s="267"/>
      <c r="G10" s="267"/>
      <c r="H10" s="267"/>
      <c r="I10" s="268"/>
    </row>
    <row r="11" spans="1:9" ht="13.8" thickBot="1" x14ac:dyDescent="0.3"/>
    <row r="12" spans="1:9" ht="13.8" thickBot="1" x14ac:dyDescent="0.3">
      <c r="B12" s="1" t="s">
        <v>0</v>
      </c>
      <c r="D12" s="2" t="s">
        <v>8</v>
      </c>
      <c r="E12" s="3">
        <f>+F28</f>
        <v>0.10000000000000009</v>
      </c>
      <c r="F12" s="6" t="s">
        <v>14</v>
      </c>
    </row>
    <row r="13" spans="1:9" ht="13.8" thickBot="1" x14ac:dyDescent="0.3"/>
    <row r="14" spans="1:9" x14ac:dyDescent="0.25">
      <c r="B14" s="102" t="s">
        <v>5</v>
      </c>
      <c r="C14" s="103">
        <v>0.1</v>
      </c>
      <c r="D14" s="104" t="s">
        <v>6</v>
      </c>
    </row>
    <row r="15" spans="1:9" x14ac:dyDescent="0.25">
      <c r="B15" s="105" t="s">
        <v>3</v>
      </c>
      <c r="C15" s="106">
        <v>100</v>
      </c>
      <c r="D15" s="107"/>
    </row>
    <row r="16" spans="1:9" ht="13.8" thickBot="1" x14ac:dyDescent="0.3">
      <c r="B16" s="108" t="s">
        <v>4</v>
      </c>
      <c r="C16" s="109">
        <f>+C15*C14</f>
        <v>10</v>
      </c>
      <c r="D16" s="110" t="str">
        <f>+D14</f>
        <v>anual</v>
      </c>
    </row>
    <row r="19" spans="2:10" ht="13.8" thickBot="1" x14ac:dyDescent="0.3"/>
    <row r="20" spans="2:10" x14ac:dyDescent="0.25">
      <c r="B20" s="78" t="s">
        <v>1</v>
      </c>
      <c r="C20" s="80" t="s">
        <v>2</v>
      </c>
      <c r="E20" s="254" t="s">
        <v>86</v>
      </c>
      <c r="F20" s="255"/>
      <c r="G20" s="255"/>
      <c r="H20" s="255"/>
      <c r="I20" s="255"/>
      <c r="J20" s="256"/>
    </row>
    <row r="21" spans="2:10" x14ac:dyDescent="0.25">
      <c r="B21" s="41">
        <v>0</v>
      </c>
      <c r="C21" s="83">
        <f>-C15</f>
        <v>-100</v>
      </c>
      <c r="E21" s="257"/>
      <c r="F21" s="258"/>
      <c r="G21" s="258"/>
      <c r="H21" s="258"/>
      <c r="I21" s="258"/>
      <c r="J21" s="259"/>
    </row>
    <row r="22" spans="2:10" x14ac:dyDescent="0.25">
      <c r="B22" s="41">
        <v>1</v>
      </c>
      <c r="C22" s="83">
        <f>+$C$16</f>
        <v>10</v>
      </c>
      <c r="E22" s="257"/>
      <c r="F22" s="258"/>
      <c r="G22" s="258"/>
      <c r="H22" s="258"/>
      <c r="I22" s="258"/>
      <c r="J22" s="259"/>
    </row>
    <row r="23" spans="2:10" x14ac:dyDescent="0.25">
      <c r="B23" s="41">
        <v>2</v>
      </c>
      <c r="C23" s="83">
        <f>+$C$16</f>
        <v>10</v>
      </c>
      <c r="E23" s="38"/>
      <c r="F23" s="39"/>
      <c r="G23" s="39"/>
      <c r="H23" s="39"/>
      <c r="I23" s="39"/>
      <c r="J23" s="40"/>
    </row>
    <row r="24" spans="2:10" ht="13.8" thickBot="1" x14ac:dyDescent="0.3">
      <c r="B24" s="41">
        <v>3</v>
      </c>
      <c r="C24" s="83">
        <f>+$C$16</f>
        <v>10</v>
      </c>
      <c r="E24" s="46" t="s">
        <v>8</v>
      </c>
      <c r="F24" s="47">
        <f>+C16/C15</f>
        <v>0.1</v>
      </c>
      <c r="G24" s="48"/>
      <c r="H24" s="48"/>
      <c r="I24" s="48"/>
      <c r="J24" s="49"/>
    </row>
    <row r="25" spans="2:10" ht="13.8" thickBot="1" x14ac:dyDescent="0.3">
      <c r="B25" s="41">
        <v>4</v>
      </c>
      <c r="C25" s="83">
        <f>+$C$16</f>
        <v>10</v>
      </c>
    </row>
    <row r="26" spans="2:10" ht="13.8" thickBot="1" x14ac:dyDescent="0.3">
      <c r="B26" s="43">
        <v>5</v>
      </c>
      <c r="C26" s="86">
        <f>+$C$16+$C$15</f>
        <v>110</v>
      </c>
      <c r="E26" s="50" t="s">
        <v>9</v>
      </c>
      <c r="F26" s="51"/>
      <c r="G26" s="51"/>
      <c r="H26" s="51"/>
      <c r="I26" s="51"/>
      <c r="J26" s="52"/>
    </row>
    <row r="27" spans="2:10" x14ac:dyDescent="0.25">
      <c r="E27" s="38"/>
      <c r="F27" s="39"/>
      <c r="G27" s="39"/>
      <c r="H27" s="39"/>
      <c r="I27" s="39"/>
      <c r="J27" s="40"/>
    </row>
    <row r="28" spans="2:10" ht="13.8" thickBot="1" x14ac:dyDescent="0.3">
      <c r="E28" s="46" t="s">
        <v>8</v>
      </c>
      <c r="F28" s="53">
        <f>IRR(C21:C26)</f>
        <v>0.10000000000000009</v>
      </c>
      <c r="G28" s="48"/>
      <c r="H28" s="48"/>
      <c r="I28" s="48"/>
      <c r="J28" s="49"/>
    </row>
    <row r="29" spans="2:10" ht="13.8" thickBot="1" x14ac:dyDescent="0.3"/>
    <row r="30" spans="2:10" x14ac:dyDescent="0.25">
      <c r="E30" s="142" t="s">
        <v>95</v>
      </c>
      <c r="F30" s="143"/>
      <c r="G30" s="143"/>
      <c r="H30" s="143"/>
      <c r="I30" s="143"/>
      <c r="J30" s="144"/>
    </row>
    <row r="31" spans="2:10" x14ac:dyDescent="0.25">
      <c r="E31" s="145">
        <v>1</v>
      </c>
      <c r="F31" s="146" t="s">
        <v>91</v>
      </c>
      <c r="G31" s="146"/>
      <c r="H31" s="146"/>
      <c r="I31" s="146"/>
      <c r="J31" s="147"/>
    </row>
    <row r="32" spans="2:10" x14ac:dyDescent="0.25">
      <c r="E32" s="145">
        <v>2</v>
      </c>
      <c r="F32" s="146" t="s">
        <v>92</v>
      </c>
      <c r="G32" s="146"/>
      <c r="H32" s="146"/>
      <c r="I32" s="146"/>
      <c r="J32" s="147"/>
    </row>
    <row r="33" spans="5:10" x14ac:dyDescent="0.25">
      <c r="E33" s="145">
        <v>3</v>
      </c>
      <c r="F33" s="146" t="s">
        <v>93</v>
      </c>
      <c r="G33" s="146"/>
      <c r="H33" s="146"/>
      <c r="I33" s="146"/>
      <c r="J33" s="147"/>
    </row>
    <row r="34" spans="5:10" x14ac:dyDescent="0.25">
      <c r="E34" s="269" t="s">
        <v>94</v>
      </c>
      <c r="F34" s="270"/>
      <c r="G34" s="270"/>
      <c r="H34" s="270"/>
      <c r="I34" s="270"/>
      <c r="J34" s="271"/>
    </row>
    <row r="35" spans="5:10" x14ac:dyDescent="0.25">
      <c r="E35" s="269"/>
      <c r="F35" s="270"/>
      <c r="G35" s="270"/>
      <c r="H35" s="270"/>
      <c r="I35" s="270"/>
      <c r="J35" s="271"/>
    </row>
    <row r="36" spans="5:10" ht="13.8" thickBot="1" x14ac:dyDescent="0.3">
      <c r="E36" s="272"/>
      <c r="F36" s="273"/>
      <c r="G36" s="273"/>
      <c r="H36" s="273"/>
      <c r="I36" s="273"/>
      <c r="J36" s="274"/>
    </row>
  </sheetData>
  <mergeCells count="4">
    <mergeCell ref="E20:J22"/>
    <mergeCell ref="B6:I10"/>
    <mergeCell ref="E34:J36"/>
    <mergeCell ref="B2:C2"/>
  </mergeCells>
  <phoneticPr fontId="4" type="noConversion"/>
  <printOptions headings="1"/>
  <pageMargins left="0.75" right="0.75" top="0.44" bottom="0.59" header="0" footer="0"/>
  <pageSetup paperSize="9" orientation="landscape" horizontalDpi="4294967293" verticalDpi="360" r:id="rId1"/>
  <headerFooter alignWithMargins="0">
    <oddFooter>&amp;L&amp;"Arial,Negrita"&amp;A&amp;Cwww.excelavanzado.com&amp;R&amp;D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J31"/>
  <sheetViews>
    <sheetView showGridLines="0" workbookViewId="0">
      <selection activeCell="F2" sqref="F2"/>
    </sheetView>
  </sheetViews>
  <sheetFormatPr baseColWidth="10" defaultRowHeight="13.2" x14ac:dyDescent="0.25"/>
  <cols>
    <col min="1" max="1" width="2.5546875" customWidth="1"/>
    <col min="5" max="5" width="12.109375" customWidth="1"/>
    <col min="6" max="6" width="12" customWidth="1"/>
  </cols>
  <sheetData>
    <row r="1" spans="2:9" ht="13.8" thickBot="1" x14ac:dyDescent="0.3"/>
    <row r="2" spans="2:9" ht="18.75" customHeight="1" thickBot="1" x14ac:dyDescent="0.3">
      <c r="B2" s="275" t="str">
        <f ca="1">RIGHT(CELL("nombrearchivo",A1),LEN(CELL("nombrearchivo",A1))-FIND("]",CELL("nombrearchivo",A1)))</f>
        <v>Bono3</v>
      </c>
      <c r="C2" s="276"/>
      <c r="F2" s="180"/>
    </row>
    <row r="4" spans="2:9" ht="17.399999999999999" x14ac:dyDescent="0.3">
      <c r="B4" s="148" t="s">
        <v>144</v>
      </c>
    </row>
    <row r="5" spans="2:9" ht="13.8" thickBot="1" x14ac:dyDescent="0.3"/>
    <row r="6" spans="2:9" x14ac:dyDescent="0.25">
      <c r="B6" s="260" t="s">
        <v>10</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2" t="s">
        <v>8</v>
      </c>
      <c r="E12" s="5">
        <f>+F30</f>
        <v>0.10250000000000159</v>
      </c>
      <c r="F12" s="6" t="s">
        <v>14</v>
      </c>
    </row>
    <row r="13" spans="2:9" ht="13.8" thickBot="1" x14ac:dyDescent="0.3"/>
    <row r="14" spans="2:9" x14ac:dyDescent="0.25">
      <c r="B14" s="102" t="s">
        <v>5</v>
      </c>
      <c r="C14" s="103">
        <v>0.05</v>
      </c>
      <c r="D14" s="104" t="s">
        <v>11</v>
      </c>
    </row>
    <row r="15" spans="2:9" x14ac:dyDescent="0.25">
      <c r="B15" s="105" t="s">
        <v>3</v>
      </c>
      <c r="C15" s="106">
        <v>100</v>
      </c>
      <c r="D15" s="107"/>
    </row>
    <row r="16" spans="2:9" ht="13.8" thickBot="1" x14ac:dyDescent="0.3">
      <c r="B16" s="108" t="s">
        <v>4</v>
      </c>
      <c r="C16" s="109">
        <f>+C15*C14</f>
        <v>5</v>
      </c>
      <c r="D16" s="110" t="str">
        <f>+D14</f>
        <v>semestral</v>
      </c>
    </row>
    <row r="18" spans="2:10" ht="13.8" thickBot="1" x14ac:dyDescent="0.3"/>
    <row r="19" spans="2:10" ht="13.8" thickBot="1" x14ac:dyDescent="0.3">
      <c r="E19" s="254" t="s">
        <v>87</v>
      </c>
      <c r="F19" s="255"/>
      <c r="G19" s="255"/>
      <c r="H19" s="255"/>
      <c r="I19" s="255"/>
      <c r="J19" s="256"/>
    </row>
    <row r="20" spans="2:10" ht="12.75" customHeight="1" x14ac:dyDescent="0.25">
      <c r="B20" s="78" t="s">
        <v>12</v>
      </c>
      <c r="C20" s="80" t="s">
        <v>2</v>
      </c>
      <c r="E20" s="257"/>
      <c r="F20" s="258"/>
      <c r="G20" s="258"/>
      <c r="H20" s="258"/>
      <c r="I20" s="258"/>
      <c r="J20" s="259"/>
    </row>
    <row r="21" spans="2:10" x14ac:dyDescent="0.25">
      <c r="B21" s="41">
        <v>0</v>
      </c>
      <c r="C21" s="83">
        <f>-C15</f>
        <v>-100</v>
      </c>
      <c r="E21" s="257"/>
      <c r="F21" s="258"/>
      <c r="G21" s="258"/>
      <c r="H21" s="258"/>
      <c r="I21" s="258"/>
      <c r="J21" s="259"/>
    </row>
    <row r="22" spans="2:10" x14ac:dyDescent="0.25">
      <c r="B22" s="41">
        <v>1</v>
      </c>
      <c r="C22" s="83">
        <f>+$C$16</f>
        <v>5</v>
      </c>
      <c r="E22" s="257"/>
      <c r="F22" s="258"/>
      <c r="G22" s="258"/>
      <c r="H22" s="258"/>
      <c r="I22" s="258"/>
      <c r="J22" s="259"/>
    </row>
    <row r="23" spans="2:10" x14ac:dyDescent="0.25">
      <c r="B23" s="41">
        <v>2</v>
      </c>
      <c r="C23" s="83">
        <f t="shared" ref="C23:C30" si="0">+$C$16</f>
        <v>5</v>
      </c>
      <c r="E23" s="38"/>
      <c r="F23" s="39"/>
      <c r="G23" s="39"/>
      <c r="H23" s="39"/>
      <c r="I23" s="39"/>
      <c r="J23" s="40"/>
    </row>
    <row r="24" spans="2:10" x14ac:dyDescent="0.25">
      <c r="B24" s="41">
        <v>3</v>
      </c>
      <c r="C24" s="83">
        <f t="shared" si="0"/>
        <v>5</v>
      </c>
      <c r="E24" s="38" t="s">
        <v>13</v>
      </c>
      <c r="F24" s="54">
        <f>+C16/C15</f>
        <v>0.05</v>
      </c>
      <c r="G24" s="39"/>
      <c r="H24" s="39"/>
      <c r="I24" s="39"/>
      <c r="J24" s="40"/>
    </row>
    <row r="25" spans="2:10" ht="13.8" thickBot="1" x14ac:dyDescent="0.3">
      <c r="B25" s="41">
        <v>4</v>
      </c>
      <c r="C25" s="83">
        <f t="shared" si="0"/>
        <v>5</v>
      </c>
      <c r="E25" s="46" t="s">
        <v>8</v>
      </c>
      <c r="F25" s="55">
        <f>+(1+F24)^2-1</f>
        <v>0.10250000000000004</v>
      </c>
      <c r="G25" s="48"/>
      <c r="H25" s="48"/>
      <c r="I25" s="48"/>
      <c r="J25" s="49"/>
    </row>
    <row r="26" spans="2:10" ht="13.8" thickBot="1" x14ac:dyDescent="0.3">
      <c r="B26" s="41">
        <v>5</v>
      </c>
      <c r="C26" s="83">
        <f t="shared" si="0"/>
        <v>5</v>
      </c>
    </row>
    <row r="27" spans="2:10" x14ac:dyDescent="0.25">
      <c r="B27" s="41">
        <v>6</v>
      </c>
      <c r="C27" s="83">
        <f t="shared" si="0"/>
        <v>5</v>
      </c>
      <c r="E27" s="50" t="s">
        <v>9</v>
      </c>
      <c r="F27" s="51"/>
      <c r="G27" s="51"/>
      <c r="H27" s="51"/>
      <c r="I27" s="51"/>
      <c r="J27" s="52"/>
    </row>
    <row r="28" spans="2:10" x14ac:dyDescent="0.25">
      <c r="B28" s="41">
        <v>7</v>
      </c>
      <c r="C28" s="83">
        <f t="shared" si="0"/>
        <v>5</v>
      </c>
      <c r="E28" s="38"/>
      <c r="F28" s="39"/>
      <c r="G28" s="39"/>
      <c r="H28" s="39"/>
      <c r="I28" s="39"/>
      <c r="J28" s="40"/>
    </row>
    <row r="29" spans="2:10" x14ac:dyDescent="0.25">
      <c r="B29" s="41">
        <v>8</v>
      </c>
      <c r="C29" s="83">
        <f t="shared" si="0"/>
        <v>5</v>
      </c>
      <c r="E29" s="38" t="s">
        <v>13</v>
      </c>
      <c r="F29" s="56">
        <f>IRR(C21:C31)</f>
        <v>5.0000000000000711E-2</v>
      </c>
      <c r="G29" s="39"/>
      <c r="H29" s="39"/>
      <c r="I29" s="39"/>
      <c r="J29" s="40"/>
    </row>
    <row r="30" spans="2:10" x14ac:dyDescent="0.25">
      <c r="B30" s="41">
        <v>9</v>
      </c>
      <c r="C30" s="83">
        <f t="shared" si="0"/>
        <v>5</v>
      </c>
      <c r="E30" s="38" t="s">
        <v>8</v>
      </c>
      <c r="F30" s="57">
        <f>+(1+F29)^2-1</f>
        <v>0.10250000000000159</v>
      </c>
      <c r="G30" s="39"/>
      <c r="H30" s="39"/>
      <c r="I30" s="39"/>
      <c r="J30" s="40"/>
    </row>
    <row r="31" spans="2:10" ht="13.8" thickBot="1" x14ac:dyDescent="0.3">
      <c r="B31" s="43">
        <v>10</v>
      </c>
      <c r="C31" s="86">
        <f>+$C$16+$C$15</f>
        <v>105</v>
      </c>
      <c r="E31" s="46"/>
      <c r="F31" s="48"/>
      <c r="G31" s="48"/>
      <c r="H31" s="48"/>
      <c r="I31" s="48"/>
      <c r="J31" s="49"/>
    </row>
  </sheetData>
  <mergeCells count="3">
    <mergeCell ref="B6:I10"/>
    <mergeCell ref="E19:J22"/>
    <mergeCell ref="B2:C2"/>
  </mergeCells>
  <phoneticPr fontId="4" type="noConversion"/>
  <printOptions headings="1"/>
  <pageMargins left="0.75" right="0.75" top="0.49" bottom="0.56000000000000005" header="0" footer="0"/>
  <pageSetup paperSize="9" orientation="landscape" verticalDpi="0" r:id="rId1"/>
  <headerFooter alignWithMargins="0">
    <oddFooter>&amp;L&amp;A&amp;C&amp;"Arial,Negrita"www.excelavanzado.com &amp;R&amp;D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26"/>
  <sheetViews>
    <sheetView showGridLines="0" workbookViewId="0">
      <selection activeCell="F2" sqref="F2"/>
    </sheetView>
  </sheetViews>
  <sheetFormatPr baseColWidth="10" defaultRowHeight="13.2" x14ac:dyDescent="0.25"/>
  <cols>
    <col min="1" max="1" width="2.5546875" customWidth="1"/>
    <col min="5" max="5" width="4.109375" customWidth="1"/>
    <col min="6" max="6" width="12" customWidth="1"/>
    <col min="8" max="8" width="15" customWidth="1"/>
  </cols>
  <sheetData>
    <row r="1" spans="2:9" ht="13.8" thickBot="1" x14ac:dyDescent="0.3"/>
    <row r="2" spans="2:9" ht="18.75" customHeight="1" thickBot="1" x14ac:dyDescent="0.3">
      <c r="B2" s="275" t="str">
        <f ca="1">RIGHT(CELL("nombrearchivo",A1),LEN(CELL("nombrearchivo",A1))-FIND("]",CELL("nombrearchivo",A1)))</f>
        <v>Bono4</v>
      </c>
      <c r="C2" s="276"/>
      <c r="F2" s="180"/>
    </row>
    <row r="4" spans="2:9" ht="17.399999999999999" x14ac:dyDescent="0.3">
      <c r="B4" s="148" t="s">
        <v>145</v>
      </c>
    </row>
    <row r="5" spans="2:9" ht="13.8" thickBot="1" x14ac:dyDescent="0.3"/>
    <row r="6" spans="2:9" x14ac:dyDescent="0.25">
      <c r="B6" s="260" t="s">
        <v>15</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F12" s="2" t="s">
        <v>8</v>
      </c>
      <c r="G12" s="4">
        <f>+G23</f>
        <v>5.8823529411764719E-2</v>
      </c>
      <c r="H12" s="6" t="s">
        <v>14</v>
      </c>
    </row>
    <row r="13" spans="2:9" ht="13.8" thickBot="1" x14ac:dyDescent="0.3"/>
    <row r="14" spans="2:9" x14ac:dyDescent="0.25">
      <c r="B14" s="70" t="s">
        <v>5</v>
      </c>
      <c r="C14" s="111">
        <v>0.06</v>
      </c>
      <c r="D14" s="72" t="s">
        <v>6</v>
      </c>
      <c r="F14" s="254" t="s">
        <v>88</v>
      </c>
      <c r="G14" s="293"/>
      <c r="H14" s="293"/>
      <c r="I14" s="294"/>
    </row>
    <row r="15" spans="2:9" x14ac:dyDescent="0.25">
      <c r="B15" s="31" t="s">
        <v>3</v>
      </c>
      <c r="C15" s="32">
        <v>1000</v>
      </c>
      <c r="D15" s="33"/>
      <c r="F15" s="298"/>
      <c r="G15" s="299"/>
      <c r="H15" s="299"/>
      <c r="I15" s="300"/>
    </row>
    <row r="16" spans="2:9" x14ac:dyDescent="0.25">
      <c r="B16" s="31" t="s">
        <v>4</v>
      </c>
      <c r="C16" s="32">
        <f>+C15*C14</f>
        <v>60</v>
      </c>
      <c r="D16" s="33" t="str">
        <f>+D14</f>
        <v>anual</v>
      </c>
      <c r="F16" s="298"/>
      <c r="G16" s="299"/>
      <c r="H16" s="299"/>
      <c r="I16" s="300"/>
    </row>
    <row r="17" spans="2:9" x14ac:dyDescent="0.25">
      <c r="B17" s="31" t="s">
        <v>16</v>
      </c>
      <c r="C17" s="32">
        <v>20</v>
      </c>
      <c r="D17" s="33"/>
      <c r="F17" s="298"/>
      <c r="G17" s="299"/>
      <c r="H17" s="299"/>
      <c r="I17" s="300"/>
    </row>
    <row r="18" spans="2:9" ht="13.8" thickBot="1" x14ac:dyDescent="0.3">
      <c r="B18" s="31" t="s">
        <v>17</v>
      </c>
      <c r="C18" s="74">
        <v>1.02</v>
      </c>
      <c r="D18" s="33"/>
      <c r="F18" s="295"/>
      <c r="G18" s="296"/>
      <c r="H18" s="296"/>
      <c r="I18" s="297"/>
    </row>
    <row r="19" spans="2:9" ht="13.8" thickBot="1" x14ac:dyDescent="0.3">
      <c r="B19" s="35" t="s">
        <v>18</v>
      </c>
      <c r="C19" s="76">
        <f>+C18*C15</f>
        <v>1020</v>
      </c>
      <c r="D19" s="77"/>
      <c r="F19" s="63" t="s">
        <v>8</v>
      </c>
      <c r="G19" s="239">
        <f>+C16/C19</f>
        <v>5.8823529411764705E-2</v>
      </c>
      <c r="H19" s="240"/>
      <c r="I19" s="64"/>
    </row>
    <row r="20" spans="2:9" ht="13.8" thickBot="1" x14ac:dyDescent="0.3"/>
    <row r="21" spans="2:9" x14ac:dyDescent="0.25">
      <c r="B21" s="78" t="s">
        <v>1</v>
      </c>
      <c r="C21" s="80" t="s">
        <v>19</v>
      </c>
      <c r="F21" s="254" t="s">
        <v>20</v>
      </c>
      <c r="G21" s="293"/>
      <c r="H21" s="293"/>
      <c r="I21" s="294"/>
    </row>
    <row r="22" spans="2:9" ht="13.8" thickBot="1" x14ac:dyDescent="0.3">
      <c r="B22" s="41">
        <v>0</v>
      </c>
      <c r="C22" s="83">
        <f>-C19</f>
        <v>-1020</v>
      </c>
      <c r="F22" s="295"/>
      <c r="G22" s="296"/>
      <c r="H22" s="296"/>
      <c r="I22" s="297"/>
    </row>
    <row r="23" spans="2:9" ht="13.8" thickBot="1" x14ac:dyDescent="0.3">
      <c r="B23" s="41">
        <v>1</v>
      </c>
      <c r="C23" s="83">
        <f>+$C$16</f>
        <v>60</v>
      </c>
      <c r="F23" s="46" t="s">
        <v>8</v>
      </c>
      <c r="G23" s="59">
        <f>IRR(C22:C26)</f>
        <v>5.8823529411764719E-2</v>
      </c>
      <c r="H23" s="48"/>
      <c r="I23" s="49"/>
    </row>
    <row r="24" spans="2:9" x14ac:dyDescent="0.25">
      <c r="B24" s="41">
        <v>2</v>
      </c>
      <c r="C24" s="83">
        <f>+$C$16</f>
        <v>60</v>
      </c>
    </row>
    <row r="25" spans="2:9" x14ac:dyDescent="0.25">
      <c r="B25" s="41">
        <v>3</v>
      </c>
      <c r="C25" s="83">
        <f>+$C$16</f>
        <v>60</v>
      </c>
    </row>
    <row r="26" spans="2:9" ht="13.8" thickBot="1" x14ac:dyDescent="0.3">
      <c r="B26" s="43">
        <v>4</v>
      </c>
      <c r="C26" s="86">
        <f>+$C$16+C15+C17</f>
        <v>1080</v>
      </c>
    </row>
  </sheetData>
  <mergeCells count="4">
    <mergeCell ref="F21:I22"/>
    <mergeCell ref="B6:I10"/>
    <mergeCell ref="B2:C2"/>
    <mergeCell ref="F14:I18"/>
  </mergeCells>
  <phoneticPr fontId="4" type="noConversion"/>
  <printOptions headings="1"/>
  <pageMargins left="0.78740157480314965" right="0.78740157480314965" top="0.98425196850393704" bottom="0.98425196850393704" header="0" footer="0"/>
  <pageSetup paperSize="9" orientation="landscape" verticalDpi="0" r:id="rId1"/>
  <headerFooter alignWithMargins="0">
    <oddFooter>&amp;L&amp;A&amp;C&amp;"Arial,Negrita"www.excelavanzado.com &amp;R&amp;D</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J34"/>
  <sheetViews>
    <sheetView showGridLines="0" workbookViewId="0">
      <selection activeCell="F2" sqref="F2"/>
    </sheetView>
  </sheetViews>
  <sheetFormatPr baseColWidth="10" defaultRowHeight="13.2" x14ac:dyDescent="0.25"/>
  <cols>
    <col min="1" max="1" width="2.5546875" customWidth="1"/>
    <col min="3" max="3" width="12.33203125" bestFit="1" customWidth="1"/>
    <col min="4" max="4" width="15.44140625" bestFit="1" customWidth="1"/>
    <col min="5" max="5" width="6.44140625" customWidth="1"/>
  </cols>
  <sheetData>
    <row r="1" spans="2:10" ht="13.8" thickBot="1" x14ac:dyDescent="0.3"/>
    <row r="2" spans="2:10" ht="18.75" customHeight="1" thickBot="1" x14ac:dyDescent="0.3">
      <c r="B2" s="275" t="str">
        <f ca="1">RIGHT(CELL("nombrearchivo",A1),LEN(CELL("nombrearchivo",A1))-FIND("]",CELL("nombrearchivo",A1)))</f>
        <v>Bono5</v>
      </c>
      <c r="C2" s="276"/>
      <c r="F2" s="180"/>
    </row>
    <row r="4" spans="2:10" ht="17.399999999999999" x14ac:dyDescent="0.3">
      <c r="B4" s="148" t="s">
        <v>146</v>
      </c>
    </row>
    <row r="5" spans="2:10" ht="13.8" thickBot="1" x14ac:dyDescent="0.3"/>
    <row r="6" spans="2:10" ht="13.8" thickTop="1" x14ac:dyDescent="0.25">
      <c r="B6" s="301" t="s">
        <v>34</v>
      </c>
      <c r="C6" s="302"/>
      <c r="D6" s="302"/>
      <c r="E6" s="302"/>
      <c r="F6" s="302"/>
      <c r="G6" s="302"/>
      <c r="H6" s="302"/>
      <c r="I6" s="302"/>
      <c r="J6" s="303"/>
    </row>
    <row r="7" spans="2:10" ht="13.8" thickBot="1" x14ac:dyDescent="0.3">
      <c r="B7" s="304"/>
      <c r="C7" s="305"/>
      <c r="D7" s="305"/>
      <c r="E7" s="305"/>
      <c r="F7" s="305"/>
      <c r="G7" s="305"/>
      <c r="H7" s="305"/>
      <c r="I7" s="305"/>
      <c r="J7" s="306"/>
    </row>
    <row r="8" spans="2:10" ht="14.4" thickTop="1" thickBot="1" x14ac:dyDescent="0.3"/>
    <row r="9" spans="2:10" ht="13.8" thickBot="1" x14ac:dyDescent="0.3">
      <c r="B9" s="70" t="s">
        <v>8</v>
      </c>
      <c r="C9" s="112">
        <v>3.4000000000000002E-2</v>
      </c>
      <c r="D9" s="72" t="s">
        <v>14</v>
      </c>
      <c r="F9" s="242" t="s">
        <v>18</v>
      </c>
      <c r="G9" s="241">
        <f>NPV(C10,C20:C34)</f>
        <v>99.448167679457512</v>
      </c>
    </row>
    <row r="10" spans="2:10" ht="13.8" thickBot="1" x14ac:dyDescent="0.3">
      <c r="B10" s="31" t="s">
        <v>36</v>
      </c>
      <c r="C10" s="113">
        <f>+(1+C9)^(1/4)-1</f>
        <v>8.3937254420483054E-3</v>
      </c>
      <c r="D10" s="33" t="s">
        <v>37</v>
      </c>
    </row>
    <row r="11" spans="2:10" x14ac:dyDescent="0.25">
      <c r="B11" s="31" t="s">
        <v>38</v>
      </c>
      <c r="C11" s="114" t="s">
        <v>39</v>
      </c>
      <c r="D11" s="33"/>
      <c r="F11" s="307" t="s">
        <v>43</v>
      </c>
      <c r="G11" s="308"/>
      <c r="H11" s="308"/>
      <c r="I11" s="308"/>
      <c r="J11" s="309"/>
    </row>
    <row r="12" spans="2:10" ht="13.8" thickBot="1" x14ac:dyDescent="0.3">
      <c r="B12" s="31" t="s">
        <v>40</v>
      </c>
      <c r="C12" s="114">
        <v>15</v>
      </c>
      <c r="D12" s="33" t="s">
        <v>40</v>
      </c>
      <c r="F12" s="310"/>
      <c r="G12" s="311"/>
      <c r="H12" s="311"/>
      <c r="I12" s="311"/>
      <c r="J12" s="312"/>
    </row>
    <row r="13" spans="2:10" ht="13.8" thickBot="1" x14ac:dyDescent="0.3">
      <c r="B13" s="31" t="s">
        <v>5</v>
      </c>
      <c r="C13" s="115">
        <v>1.4999999999999999E-2</v>
      </c>
      <c r="D13" s="33" t="s">
        <v>11</v>
      </c>
    </row>
    <row r="14" spans="2:10" x14ac:dyDescent="0.25">
      <c r="B14" s="31" t="s">
        <v>4</v>
      </c>
      <c r="C14" s="32">
        <f>+C15*C13</f>
        <v>1.5</v>
      </c>
      <c r="D14" s="33" t="s">
        <v>41</v>
      </c>
      <c r="F14" s="307" t="s">
        <v>44</v>
      </c>
      <c r="G14" s="308"/>
      <c r="H14" s="308"/>
      <c r="I14" s="308"/>
      <c r="J14" s="309"/>
    </row>
    <row r="15" spans="2:10" ht="13.8" thickBot="1" x14ac:dyDescent="0.3">
      <c r="B15" s="35" t="s">
        <v>3</v>
      </c>
      <c r="C15" s="37">
        <v>100</v>
      </c>
      <c r="D15" s="77"/>
      <c r="F15" s="313"/>
      <c r="G15" s="314"/>
      <c r="H15" s="314"/>
      <c r="I15" s="314"/>
      <c r="J15" s="315"/>
    </row>
    <row r="16" spans="2:10" x14ac:dyDescent="0.25">
      <c r="C16" s="16"/>
      <c r="F16" s="313"/>
      <c r="G16" s="314"/>
      <c r="H16" s="314"/>
      <c r="I16" s="314"/>
      <c r="J16" s="315"/>
    </row>
    <row r="17" spans="2:10" ht="13.8" thickBot="1" x14ac:dyDescent="0.3">
      <c r="C17" s="16"/>
      <c r="F17" s="313"/>
      <c r="G17" s="314"/>
      <c r="H17" s="314"/>
      <c r="I17" s="314"/>
      <c r="J17" s="315"/>
    </row>
    <row r="18" spans="2:10" x14ac:dyDescent="0.25">
      <c r="B18" s="78" t="s">
        <v>35</v>
      </c>
      <c r="C18" s="80" t="s">
        <v>19</v>
      </c>
      <c r="F18" s="313"/>
      <c r="G18" s="314"/>
      <c r="H18" s="314"/>
      <c r="I18" s="314"/>
      <c r="J18" s="315"/>
    </row>
    <row r="19" spans="2:10" ht="13.8" thickBot="1" x14ac:dyDescent="0.3">
      <c r="B19" s="41">
        <v>0</v>
      </c>
      <c r="C19" s="99" t="s">
        <v>42</v>
      </c>
      <c r="F19" s="310"/>
      <c r="G19" s="311"/>
      <c r="H19" s="311"/>
      <c r="I19" s="311"/>
      <c r="J19" s="312"/>
    </row>
    <row r="20" spans="2:10" ht="13.8" thickBot="1" x14ac:dyDescent="0.3">
      <c r="B20" s="41">
        <v>1</v>
      </c>
      <c r="C20" s="218">
        <f>+$C$14</f>
        <v>1.5</v>
      </c>
    </row>
    <row r="21" spans="2:10" x14ac:dyDescent="0.25">
      <c r="B21" s="41">
        <v>2</v>
      </c>
      <c r="C21" s="218">
        <v>0</v>
      </c>
      <c r="F21" s="307" t="s">
        <v>98</v>
      </c>
      <c r="G21" s="308"/>
      <c r="H21" s="308"/>
      <c r="I21" s="308"/>
      <c r="J21" s="309"/>
    </row>
    <row r="22" spans="2:10" x14ac:dyDescent="0.25">
      <c r="B22" s="41">
        <v>3</v>
      </c>
      <c r="C22" s="218">
        <f>+$C$14</f>
        <v>1.5</v>
      </c>
      <c r="F22" s="313"/>
      <c r="G22" s="314"/>
      <c r="H22" s="314"/>
      <c r="I22" s="314"/>
      <c r="J22" s="315"/>
    </row>
    <row r="23" spans="2:10" x14ac:dyDescent="0.25">
      <c r="B23" s="41">
        <v>4</v>
      </c>
      <c r="C23" s="218">
        <v>0</v>
      </c>
      <c r="F23" s="313"/>
      <c r="G23" s="314"/>
      <c r="H23" s="314"/>
      <c r="I23" s="314"/>
      <c r="J23" s="315"/>
    </row>
    <row r="24" spans="2:10" x14ac:dyDescent="0.25">
      <c r="B24" s="41">
        <v>5</v>
      </c>
      <c r="C24" s="218">
        <f>+$C$14</f>
        <v>1.5</v>
      </c>
      <c r="F24" s="313"/>
      <c r="G24" s="314"/>
      <c r="H24" s="314"/>
      <c r="I24" s="314"/>
      <c r="J24" s="315"/>
    </row>
    <row r="25" spans="2:10" ht="13.8" thickBot="1" x14ac:dyDescent="0.3">
      <c r="B25" s="41">
        <v>6</v>
      </c>
      <c r="C25" s="218">
        <v>0</v>
      </c>
      <c r="F25" s="310"/>
      <c r="G25" s="311"/>
      <c r="H25" s="311"/>
      <c r="I25" s="311"/>
      <c r="J25" s="312"/>
    </row>
    <row r="26" spans="2:10" x14ac:dyDescent="0.25">
      <c r="B26" s="41">
        <v>7</v>
      </c>
      <c r="C26" s="218">
        <f>+$C$14</f>
        <v>1.5</v>
      </c>
    </row>
    <row r="27" spans="2:10" x14ac:dyDescent="0.25">
      <c r="B27" s="41">
        <v>8</v>
      </c>
      <c r="C27" s="218">
        <v>0</v>
      </c>
    </row>
    <row r="28" spans="2:10" x14ac:dyDescent="0.25">
      <c r="B28" s="41">
        <v>9</v>
      </c>
      <c r="C28" s="218">
        <f>+$C$14</f>
        <v>1.5</v>
      </c>
      <c r="E28" s="17"/>
      <c r="F28" s="17"/>
      <c r="G28" s="17"/>
      <c r="H28" s="17"/>
      <c r="I28" s="17"/>
      <c r="J28" s="17"/>
    </row>
    <row r="29" spans="2:10" x14ac:dyDescent="0.25">
      <c r="B29" s="41">
        <v>10</v>
      </c>
      <c r="C29" s="218">
        <v>0</v>
      </c>
    </row>
    <row r="30" spans="2:10" x14ac:dyDescent="0.25">
      <c r="B30" s="41">
        <v>11</v>
      </c>
      <c r="C30" s="218">
        <f>+$C$14</f>
        <v>1.5</v>
      </c>
    </row>
    <row r="31" spans="2:10" ht="12.75" customHeight="1" x14ac:dyDescent="0.25">
      <c r="B31" s="41">
        <v>12</v>
      </c>
      <c r="C31" s="218">
        <v>0</v>
      </c>
    </row>
    <row r="32" spans="2:10" x14ac:dyDescent="0.25">
      <c r="B32" s="41">
        <v>13</v>
      </c>
      <c r="C32" s="218">
        <f>+$C$14</f>
        <v>1.5</v>
      </c>
    </row>
    <row r="33" spans="2:3" x14ac:dyDescent="0.25">
      <c r="B33" s="41">
        <v>14</v>
      </c>
      <c r="C33" s="218">
        <v>0</v>
      </c>
    </row>
    <row r="34" spans="2:3" ht="13.8" thickBot="1" x14ac:dyDescent="0.3">
      <c r="B34" s="43">
        <v>15</v>
      </c>
      <c r="C34" s="219">
        <f>+C15+C14</f>
        <v>101.5</v>
      </c>
    </row>
  </sheetData>
  <mergeCells count="5">
    <mergeCell ref="B2:C2"/>
    <mergeCell ref="B6:J7"/>
    <mergeCell ref="F11:J12"/>
    <mergeCell ref="F14:J19"/>
    <mergeCell ref="F21:J25"/>
  </mergeCells>
  <phoneticPr fontId="4" type="noConversion"/>
  <printOptions headings="1"/>
  <pageMargins left="0.75" right="0.75" top="0.78" bottom="0.63" header="0" footer="0"/>
  <pageSetup paperSize="9" orientation="landscape" verticalDpi="300" r:id="rId1"/>
  <headerFooter alignWithMargins="0">
    <oddFooter>&amp;L&amp;A&amp;C&amp;"Arial,Negrita"www.excelavanzado.com &amp;R&amp;D</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I28"/>
  <sheetViews>
    <sheetView showGridLines="0" tabSelected="1" workbookViewId="0">
      <selection activeCell="E2" sqref="E2"/>
    </sheetView>
  </sheetViews>
  <sheetFormatPr baseColWidth="10" defaultRowHeight="13.2" x14ac:dyDescent="0.25"/>
  <cols>
    <col min="1" max="1" width="2.5546875" customWidth="1"/>
    <col min="2" max="2" width="15.5546875" bestFit="1" customWidth="1"/>
    <col min="4" max="4" width="12.44140625" bestFit="1" customWidth="1"/>
    <col min="6" max="6" width="12.44140625" bestFit="1" customWidth="1"/>
  </cols>
  <sheetData>
    <row r="1" spans="2:9" ht="13.8" thickBot="1" x14ac:dyDescent="0.3"/>
    <row r="2" spans="2:9" ht="18.75" customHeight="1" thickBot="1" x14ac:dyDescent="0.3">
      <c r="B2" s="275" t="str">
        <f ca="1">RIGHT(CELL("nombrearchivo",A1),LEN(CELL("nombrearchivo",A1))-FIND("]",CELL("nombrearchivo",A1)))</f>
        <v>Bono6</v>
      </c>
      <c r="C2" s="276"/>
      <c r="E2" s="180"/>
    </row>
    <row r="4" spans="2:9" ht="17.399999999999999" x14ac:dyDescent="0.3">
      <c r="B4" s="148" t="s">
        <v>147</v>
      </c>
    </row>
    <row r="5" spans="2:9" ht="13.8" thickBot="1" x14ac:dyDescent="0.3"/>
    <row r="6" spans="2:9" x14ac:dyDescent="0.25">
      <c r="B6" s="260" t="s">
        <v>89</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2" t="s">
        <v>8</v>
      </c>
      <c r="E12" s="4">
        <f>+G26</f>
        <v>6.7553892683488437E-2</v>
      </c>
      <c r="F12" s="6" t="s">
        <v>14</v>
      </c>
    </row>
    <row r="14" spans="2:9" ht="13.8" thickBot="1" x14ac:dyDescent="0.3"/>
    <row r="15" spans="2:9" x14ac:dyDescent="0.25">
      <c r="B15" s="102" t="s">
        <v>46</v>
      </c>
      <c r="C15" s="103">
        <v>0.06</v>
      </c>
      <c r="D15" s="104" t="s">
        <v>45</v>
      </c>
    </row>
    <row r="16" spans="2:9" x14ac:dyDescent="0.25">
      <c r="B16" s="105" t="s">
        <v>5</v>
      </c>
      <c r="C16" s="116">
        <f>+C15/2</f>
        <v>0.03</v>
      </c>
      <c r="D16" s="107" t="s">
        <v>11</v>
      </c>
    </row>
    <row r="17" spans="2:9" x14ac:dyDescent="0.25">
      <c r="B17" s="105" t="s">
        <v>3</v>
      </c>
      <c r="C17" s="106">
        <v>1000</v>
      </c>
      <c r="D17" s="107"/>
    </row>
    <row r="18" spans="2:9" x14ac:dyDescent="0.25">
      <c r="B18" s="105" t="s">
        <v>4</v>
      </c>
      <c r="C18" s="106">
        <f>+C16*C17</f>
        <v>30</v>
      </c>
      <c r="D18" s="107" t="str">
        <f>+D16</f>
        <v>semestral</v>
      </c>
    </row>
    <row r="19" spans="2:9" x14ac:dyDescent="0.25">
      <c r="B19" s="105" t="s">
        <v>16</v>
      </c>
      <c r="C19" s="106">
        <v>10</v>
      </c>
      <c r="D19" s="107"/>
    </row>
    <row r="20" spans="2:9" x14ac:dyDescent="0.25">
      <c r="B20" s="105" t="s">
        <v>17</v>
      </c>
      <c r="C20" s="116">
        <v>1</v>
      </c>
      <c r="D20" s="107"/>
    </row>
    <row r="21" spans="2:9" ht="13.8" thickBot="1" x14ac:dyDescent="0.3">
      <c r="B21" s="108" t="s">
        <v>18</v>
      </c>
      <c r="C21" s="117">
        <f>+C20*C17</f>
        <v>1000</v>
      </c>
      <c r="D21" s="110"/>
    </row>
    <row r="23" spans="2:9" ht="13.8" thickBot="1" x14ac:dyDescent="0.3"/>
    <row r="24" spans="2:9" x14ac:dyDescent="0.25">
      <c r="B24" s="78" t="s">
        <v>12</v>
      </c>
      <c r="C24" s="80" t="s">
        <v>2</v>
      </c>
      <c r="F24" s="50" t="s">
        <v>13</v>
      </c>
      <c r="G24" s="60">
        <f>+IRR(C25:C28)</f>
        <v>3.3224996156930198E-2</v>
      </c>
      <c r="H24" s="51" t="s">
        <v>47</v>
      </c>
      <c r="I24" s="52"/>
    </row>
    <row r="25" spans="2:9" x14ac:dyDescent="0.25">
      <c r="B25" s="41">
        <v>0</v>
      </c>
      <c r="C25" s="83">
        <f>-C21</f>
        <v>-1000</v>
      </c>
      <c r="F25" s="38"/>
      <c r="G25" s="39"/>
      <c r="H25" s="39"/>
      <c r="I25" s="40"/>
    </row>
    <row r="26" spans="2:9" ht="13.8" thickBot="1" x14ac:dyDescent="0.3">
      <c r="B26" s="41">
        <v>1</v>
      </c>
      <c r="C26" s="83">
        <f>+$C$18</f>
        <v>30</v>
      </c>
      <c r="F26" s="46" t="s">
        <v>8</v>
      </c>
      <c r="G26" s="58">
        <f>+(1+G24)^2-1</f>
        <v>6.7553892683488437E-2</v>
      </c>
      <c r="H26" s="48" t="s">
        <v>14</v>
      </c>
      <c r="I26" s="49"/>
    </row>
    <row r="27" spans="2:9" x14ac:dyDescent="0.25">
      <c r="B27" s="41">
        <v>2</v>
      </c>
      <c r="C27" s="83">
        <f>+$C$18</f>
        <v>30</v>
      </c>
    </row>
    <row r="28" spans="2:9" ht="13.8" thickBot="1" x14ac:dyDescent="0.3">
      <c r="B28" s="43">
        <v>3</v>
      </c>
      <c r="C28" s="86">
        <f>+$C$18+C17+C19</f>
        <v>1040</v>
      </c>
    </row>
  </sheetData>
  <mergeCells count="2">
    <mergeCell ref="B6:I10"/>
    <mergeCell ref="B2:C2"/>
  </mergeCells>
  <phoneticPr fontId="4" type="noConversion"/>
  <printOptions headings="1"/>
  <pageMargins left="0.75" right="0.75" top="1" bottom="1" header="0" footer="0"/>
  <pageSetup paperSize="9" orientation="landscape" verticalDpi="1200" r:id="rId1"/>
  <headerFooter alignWithMargins="0">
    <oddFooter>&amp;L&amp;A&amp;C&amp;"Arial,Negrita"www.excelavanzado.com &amp;R&amp;D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I22"/>
  <sheetViews>
    <sheetView showGridLines="0" workbookViewId="0">
      <selection activeCell="E2" sqref="E2"/>
    </sheetView>
  </sheetViews>
  <sheetFormatPr baseColWidth="10" defaultRowHeight="13.2" x14ac:dyDescent="0.25"/>
  <cols>
    <col min="1" max="1" width="2.5546875" customWidth="1"/>
    <col min="2" max="2" width="17.44140625" bestFit="1" customWidth="1"/>
  </cols>
  <sheetData>
    <row r="1" spans="2:9" ht="13.8" thickBot="1" x14ac:dyDescent="0.3"/>
    <row r="2" spans="2:9" ht="18.75" customHeight="1" thickBot="1" x14ac:dyDescent="0.3">
      <c r="B2" s="275" t="str">
        <f ca="1">RIGHT(CELL("nombrearchivo",A1),LEN(CELL("nombrearchivo",A1))-FIND("]",CELL("nombrearchivo",A1)))</f>
        <v>Bono7</v>
      </c>
      <c r="C2" s="276"/>
      <c r="E2" s="180"/>
    </row>
    <row r="4" spans="2:9" ht="17.399999999999999" x14ac:dyDescent="0.3">
      <c r="B4" s="148" t="s">
        <v>148</v>
      </c>
    </row>
    <row r="5" spans="2:9" ht="13.8" thickBot="1" x14ac:dyDescent="0.3"/>
    <row r="6" spans="2:9" x14ac:dyDescent="0.25">
      <c r="B6" s="260" t="s">
        <v>48</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18" t="s">
        <v>3</v>
      </c>
      <c r="E12" s="19">
        <f>+C22</f>
        <v>1250</v>
      </c>
    </row>
    <row r="13" spans="2:9" ht="13.8" thickBot="1" x14ac:dyDescent="0.3"/>
    <row r="14" spans="2:9" x14ac:dyDescent="0.25">
      <c r="B14" s="50" t="s">
        <v>46</v>
      </c>
      <c r="C14" s="61">
        <v>0.08</v>
      </c>
      <c r="D14" s="51" t="s">
        <v>45</v>
      </c>
      <c r="E14" s="51"/>
      <c r="F14" s="51"/>
      <c r="G14" s="52"/>
    </row>
    <row r="15" spans="2:9" x14ac:dyDescent="0.25">
      <c r="B15" s="38" t="s">
        <v>50</v>
      </c>
      <c r="C15" s="39">
        <v>2</v>
      </c>
      <c r="D15" s="39" t="s">
        <v>51</v>
      </c>
      <c r="E15" s="39"/>
      <c r="F15" s="39"/>
      <c r="G15" s="40"/>
    </row>
    <row r="16" spans="2:9" x14ac:dyDescent="0.25">
      <c r="B16" s="38" t="s">
        <v>49</v>
      </c>
      <c r="C16" s="54">
        <f>+C14/C15</f>
        <v>0.04</v>
      </c>
      <c r="D16" s="39"/>
      <c r="E16" s="39"/>
      <c r="F16" s="39"/>
      <c r="G16" s="40"/>
    </row>
    <row r="17" spans="2:7" ht="13.8" thickBot="1" x14ac:dyDescent="0.3">
      <c r="B17" s="46" t="s">
        <v>4</v>
      </c>
      <c r="C17" s="62">
        <v>50</v>
      </c>
      <c r="D17" s="48"/>
      <c r="E17" s="48"/>
      <c r="F17" s="48"/>
      <c r="G17" s="49"/>
    </row>
    <row r="19" spans="2:7" ht="13.8" thickBot="1" x14ac:dyDescent="0.3"/>
    <row r="20" spans="2:7" ht="13.8" thickBot="1" x14ac:dyDescent="0.3">
      <c r="B20" s="63" t="s">
        <v>52</v>
      </c>
      <c r="C20" s="64"/>
    </row>
    <row r="21" spans="2:7" ht="13.8" thickBot="1" x14ac:dyDescent="0.3"/>
    <row r="22" spans="2:7" ht="13.8" thickBot="1" x14ac:dyDescent="0.3">
      <c r="B22" s="18" t="s">
        <v>3</v>
      </c>
      <c r="C22" s="19">
        <f>+C17/C16</f>
        <v>1250</v>
      </c>
    </row>
  </sheetData>
  <mergeCells count="2">
    <mergeCell ref="B6:I10"/>
    <mergeCell ref="B2:C2"/>
  </mergeCells>
  <phoneticPr fontId="4" type="noConversion"/>
  <printOptions headings="1"/>
  <pageMargins left="0.75" right="0.75" top="1" bottom="1" header="0" footer="0"/>
  <pageSetup paperSize="9" orientation="landscape" verticalDpi="0" r:id="rId1"/>
  <headerFooter alignWithMargins="0">
    <oddFooter>&amp;L&amp;A&amp;C&amp;"Arial,Negrita"www.excelavanzado.com &amp;R&amp;D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40"/>
  <sheetViews>
    <sheetView showGridLines="0" topLeftCell="A19" workbookViewId="0">
      <selection activeCell="E2" sqref="E2"/>
    </sheetView>
  </sheetViews>
  <sheetFormatPr baseColWidth="10" defaultRowHeight="13.2" x14ac:dyDescent="0.25"/>
  <cols>
    <col min="1" max="1" width="2.5546875" customWidth="1"/>
    <col min="3" max="3" width="12.33203125" bestFit="1" customWidth="1"/>
    <col min="4" max="4" width="16.5546875" bestFit="1" customWidth="1"/>
    <col min="7" max="7" width="12.5546875" customWidth="1"/>
  </cols>
  <sheetData>
    <row r="1" spans="2:9" ht="13.8" thickBot="1" x14ac:dyDescent="0.3"/>
    <row r="2" spans="2:9" ht="18.75" customHeight="1" thickBot="1" x14ac:dyDescent="0.3">
      <c r="B2" s="275" t="str">
        <f ca="1">RIGHT(CELL("nombrearchivo",A1),LEN(CELL("nombrearchivo",A1))-FIND("]",CELL("nombrearchivo",A1)))</f>
        <v>Bono8</v>
      </c>
      <c r="C2" s="276"/>
      <c r="E2" s="180"/>
    </row>
    <row r="4" spans="2:9" ht="17.399999999999999" x14ac:dyDescent="0.3">
      <c r="B4" s="148" t="s">
        <v>149</v>
      </c>
    </row>
    <row r="5" spans="2:9" ht="13.8" thickBot="1" x14ac:dyDescent="0.3"/>
    <row r="6" spans="2:9" x14ac:dyDescent="0.25">
      <c r="B6" s="260" t="s">
        <v>53</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2" t="s">
        <v>18</v>
      </c>
      <c r="E12" s="6">
        <f>+G20</f>
        <v>330</v>
      </c>
    </row>
    <row r="13" spans="2:9" ht="13.8" thickBot="1" x14ac:dyDescent="0.3"/>
    <row r="14" spans="2:9" x14ac:dyDescent="0.25">
      <c r="B14" s="70" t="s">
        <v>5</v>
      </c>
      <c r="C14" s="111">
        <v>0.03</v>
      </c>
      <c r="D14" s="72" t="s">
        <v>6</v>
      </c>
      <c r="F14" s="316" t="s">
        <v>59</v>
      </c>
      <c r="G14" s="317"/>
      <c r="H14" s="317"/>
      <c r="I14" s="318"/>
    </row>
    <row r="15" spans="2:9" x14ac:dyDescent="0.25">
      <c r="B15" s="31" t="s">
        <v>3</v>
      </c>
      <c r="C15" s="32">
        <v>1000</v>
      </c>
      <c r="D15" s="33"/>
      <c r="F15" s="319"/>
      <c r="G15" s="320"/>
      <c r="H15" s="320"/>
      <c r="I15" s="321"/>
    </row>
    <row r="16" spans="2:9" x14ac:dyDescent="0.25">
      <c r="B16" s="31" t="s">
        <v>4</v>
      </c>
      <c r="C16" s="32">
        <f>+C15*C14</f>
        <v>30</v>
      </c>
      <c r="D16" s="33" t="s">
        <v>58</v>
      </c>
    </row>
    <row r="17" spans="2:7" ht="13.8" thickBot="1" x14ac:dyDescent="0.3">
      <c r="B17" s="35" t="s">
        <v>8</v>
      </c>
      <c r="C17" s="118">
        <v>0.1</v>
      </c>
      <c r="D17" s="77"/>
    </row>
    <row r="19" spans="2:7" ht="13.8" thickBot="1" x14ac:dyDescent="0.3"/>
    <row r="20" spans="2:7" x14ac:dyDescent="0.25">
      <c r="B20" s="78" t="s">
        <v>1</v>
      </c>
      <c r="C20" s="79" t="s">
        <v>54</v>
      </c>
      <c r="D20" s="80" t="s">
        <v>55</v>
      </c>
      <c r="F20" s="243" t="s">
        <v>18</v>
      </c>
      <c r="G20" s="244">
        <f>+C16/C17*(1+C17)</f>
        <v>330</v>
      </c>
    </row>
    <row r="21" spans="2:7" x14ac:dyDescent="0.25">
      <c r="B21" s="41">
        <v>0</v>
      </c>
      <c r="C21" s="94" t="s">
        <v>42</v>
      </c>
      <c r="D21" s="42">
        <f>+$C$16</f>
        <v>30</v>
      </c>
      <c r="F21" s="245"/>
      <c r="G21" s="246"/>
    </row>
    <row r="22" spans="2:7" x14ac:dyDescent="0.25">
      <c r="B22" s="41">
        <v>1</v>
      </c>
      <c r="C22" s="95"/>
      <c r="D22" s="42">
        <f t="shared" ref="D22:D36" si="0">+$C$16</f>
        <v>30</v>
      </c>
      <c r="F22" s="247" t="s">
        <v>18</v>
      </c>
      <c r="G22" s="248">
        <f>-PV(C17,1000,C16,,1)</f>
        <v>330</v>
      </c>
    </row>
    <row r="23" spans="2:7" x14ac:dyDescent="0.25">
      <c r="B23" s="41">
        <v>2</v>
      </c>
      <c r="C23" s="95"/>
      <c r="D23" s="42">
        <f t="shared" si="0"/>
        <v>30</v>
      </c>
    </row>
    <row r="24" spans="2:7" x14ac:dyDescent="0.25">
      <c r="B24" s="41">
        <v>3</v>
      </c>
      <c r="C24" s="95"/>
      <c r="D24" s="42">
        <f t="shared" si="0"/>
        <v>30</v>
      </c>
    </row>
    <row r="25" spans="2:7" x14ac:dyDescent="0.25">
      <c r="B25" s="41">
        <v>4</v>
      </c>
      <c r="C25" s="95"/>
      <c r="D25" s="42">
        <f t="shared" si="0"/>
        <v>30</v>
      </c>
    </row>
    <row r="26" spans="2:7" x14ac:dyDescent="0.25">
      <c r="B26" s="41">
        <v>5</v>
      </c>
      <c r="C26" s="95"/>
      <c r="D26" s="42">
        <f t="shared" si="0"/>
        <v>30</v>
      </c>
    </row>
    <row r="27" spans="2:7" x14ac:dyDescent="0.25">
      <c r="B27" s="41">
        <v>6</v>
      </c>
      <c r="C27" s="95"/>
      <c r="D27" s="42">
        <f t="shared" si="0"/>
        <v>30</v>
      </c>
    </row>
    <row r="28" spans="2:7" x14ac:dyDescent="0.25">
      <c r="B28" s="41">
        <v>7</v>
      </c>
      <c r="C28" s="95"/>
      <c r="D28" s="42">
        <f t="shared" si="0"/>
        <v>30</v>
      </c>
    </row>
    <row r="29" spans="2:7" x14ac:dyDescent="0.25">
      <c r="B29" s="41">
        <v>8</v>
      </c>
      <c r="C29" s="95"/>
      <c r="D29" s="42">
        <f t="shared" si="0"/>
        <v>30</v>
      </c>
    </row>
    <row r="30" spans="2:7" x14ac:dyDescent="0.25">
      <c r="B30" s="41">
        <v>9</v>
      </c>
      <c r="C30" s="95"/>
      <c r="D30" s="42">
        <f t="shared" si="0"/>
        <v>30</v>
      </c>
    </row>
    <row r="31" spans="2:7" x14ac:dyDescent="0.25">
      <c r="B31" s="41">
        <v>10</v>
      </c>
      <c r="C31" s="95"/>
      <c r="D31" s="42">
        <f t="shared" si="0"/>
        <v>30</v>
      </c>
    </row>
    <row r="32" spans="2:7" x14ac:dyDescent="0.25">
      <c r="B32" s="41">
        <v>11</v>
      </c>
      <c r="C32" s="95"/>
      <c r="D32" s="42">
        <f t="shared" si="0"/>
        <v>30</v>
      </c>
    </row>
    <row r="33" spans="2:4" x14ac:dyDescent="0.25">
      <c r="B33" s="41">
        <v>12</v>
      </c>
      <c r="C33" s="95"/>
      <c r="D33" s="42">
        <f t="shared" si="0"/>
        <v>30</v>
      </c>
    </row>
    <row r="34" spans="2:4" x14ac:dyDescent="0.25">
      <c r="B34" s="41">
        <v>13</v>
      </c>
      <c r="C34" s="95"/>
      <c r="D34" s="42">
        <f t="shared" si="0"/>
        <v>30</v>
      </c>
    </row>
    <row r="35" spans="2:4" x14ac:dyDescent="0.25">
      <c r="B35" s="41">
        <v>14</v>
      </c>
      <c r="C35" s="95"/>
      <c r="D35" s="42">
        <f t="shared" si="0"/>
        <v>30</v>
      </c>
    </row>
    <row r="36" spans="2:4" x14ac:dyDescent="0.25">
      <c r="B36" s="41">
        <v>15</v>
      </c>
      <c r="C36" s="95"/>
      <c r="D36" s="42">
        <f t="shared" si="0"/>
        <v>30</v>
      </c>
    </row>
    <row r="37" spans="2:4" x14ac:dyDescent="0.25">
      <c r="B37" s="96" t="s">
        <v>56</v>
      </c>
      <c r="C37" s="95"/>
      <c r="D37" s="97" t="s">
        <v>56</v>
      </c>
    </row>
    <row r="38" spans="2:4" x14ac:dyDescent="0.25">
      <c r="B38" s="96" t="s">
        <v>56</v>
      </c>
      <c r="C38" s="95"/>
      <c r="D38" s="97" t="s">
        <v>56</v>
      </c>
    </row>
    <row r="39" spans="2:4" x14ac:dyDescent="0.25">
      <c r="B39" s="96" t="s">
        <v>56</v>
      </c>
      <c r="C39" s="95"/>
      <c r="D39" s="97" t="s">
        <v>56</v>
      </c>
    </row>
    <row r="40" spans="2:4" ht="18" thickBot="1" x14ac:dyDescent="0.35">
      <c r="B40" s="92" t="s">
        <v>57</v>
      </c>
      <c r="C40" s="98"/>
      <c r="D40" s="45">
        <f>+$C$16</f>
        <v>30</v>
      </c>
    </row>
  </sheetData>
  <mergeCells count="3">
    <mergeCell ref="B6:I10"/>
    <mergeCell ref="B2:C2"/>
    <mergeCell ref="F14:I15"/>
  </mergeCells>
  <phoneticPr fontId="4" type="noConversion"/>
  <printOptions headings="1"/>
  <pageMargins left="0.75" right="0.75" top="0.44" bottom="0.5" header="0" footer="0"/>
  <pageSetup paperSize="9" orientation="landscape" horizontalDpi="300" verticalDpi="300" r:id="rId1"/>
  <headerFooter alignWithMargins="0">
    <oddFooter>&amp;L&amp;A&amp;C&amp;"Arial,Negrita"www.excelavanzado.com &amp;R&amp;D</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K34"/>
  <sheetViews>
    <sheetView showGridLines="0" topLeftCell="A4" workbookViewId="0">
      <selection activeCell="H3" sqref="H3"/>
    </sheetView>
  </sheetViews>
  <sheetFormatPr baseColWidth="10" defaultRowHeight="13.2" x14ac:dyDescent="0.25"/>
  <cols>
    <col min="1" max="1" width="2.5546875" customWidth="1"/>
    <col min="2" max="2" width="18.109375" bestFit="1" customWidth="1"/>
    <col min="4" max="4" width="12.109375" bestFit="1" customWidth="1"/>
    <col min="6" max="6" width="2.44140625" customWidth="1"/>
    <col min="7" max="7" width="3" bestFit="1" customWidth="1"/>
    <col min="11" max="11" width="12.109375" bestFit="1" customWidth="1"/>
    <col min="12" max="12" width="7.88671875" customWidth="1"/>
  </cols>
  <sheetData>
    <row r="1" spans="2:10" ht="13.8" thickBot="1" x14ac:dyDescent="0.3"/>
    <row r="2" spans="2:10" ht="18.75" customHeight="1" thickBot="1" x14ac:dyDescent="0.3">
      <c r="B2" s="275" t="str">
        <f ca="1">RIGHT(CELL("nombrearchivo",A1),LEN(CELL("nombrearchivo",A1))-FIND("]",CELL("nombrearchivo",A1)))</f>
        <v>Bono9</v>
      </c>
      <c r="C2" s="276"/>
      <c r="H2" s="180"/>
    </row>
    <row r="3" spans="2:10" x14ac:dyDescent="0.25">
      <c r="H3" s="180"/>
    </row>
    <row r="4" spans="2:10" ht="17.399999999999999" x14ac:dyDescent="0.3">
      <c r="B4" s="148" t="s">
        <v>150</v>
      </c>
    </row>
    <row r="5" spans="2:10" ht="13.8" thickBot="1" x14ac:dyDescent="0.3"/>
    <row r="6" spans="2:10" x14ac:dyDescent="0.25">
      <c r="B6" s="260" t="s">
        <v>99</v>
      </c>
      <c r="C6" s="261"/>
      <c r="D6" s="261"/>
      <c r="E6" s="261"/>
      <c r="F6" s="261"/>
      <c r="G6" s="261"/>
      <c r="H6" s="261"/>
      <c r="I6" s="261"/>
      <c r="J6" s="262"/>
    </row>
    <row r="7" spans="2:10" x14ac:dyDescent="0.25">
      <c r="B7" s="263"/>
      <c r="C7" s="264"/>
      <c r="D7" s="264"/>
      <c r="E7" s="264"/>
      <c r="F7" s="264"/>
      <c r="G7" s="264"/>
      <c r="H7" s="264"/>
      <c r="I7" s="264"/>
      <c r="J7" s="265"/>
    </row>
    <row r="8" spans="2:10" x14ac:dyDescent="0.25">
      <c r="B8" s="263"/>
      <c r="C8" s="264"/>
      <c r="D8" s="264"/>
      <c r="E8" s="264"/>
      <c r="F8" s="264"/>
      <c r="G8" s="264"/>
      <c r="H8" s="264"/>
      <c r="I8" s="264"/>
      <c r="J8" s="265"/>
    </row>
    <row r="9" spans="2:10" x14ac:dyDescent="0.25">
      <c r="B9" s="263"/>
      <c r="C9" s="264"/>
      <c r="D9" s="264"/>
      <c r="E9" s="264"/>
      <c r="F9" s="264"/>
      <c r="G9" s="264"/>
      <c r="H9" s="264"/>
      <c r="I9" s="264"/>
      <c r="J9" s="265"/>
    </row>
    <row r="10" spans="2:10" ht="13.8" thickBot="1" x14ac:dyDescent="0.3">
      <c r="B10" s="266"/>
      <c r="C10" s="267"/>
      <c r="D10" s="267"/>
      <c r="E10" s="267"/>
      <c r="F10" s="267"/>
      <c r="G10" s="267"/>
      <c r="H10" s="267"/>
      <c r="I10" s="267"/>
      <c r="J10" s="268"/>
    </row>
    <row r="11" spans="2:10" ht="13.8" thickBot="1" x14ac:dyDescent="0.3"/>
    <row r="12" spans="2:10" ht="13.8" thickBot="1" x14ac:dyDescent="0.3">
      <c r="B12" s="1" t="s">
        <v>0</v>
      </c>
      <c r="D12" s="2" t="s">
        <v>4</v>
      </c>
      <c r="E12" s="20">
        <f>+C19</f>
        <v>32.696657651319988</v>
      </c>
    </row>
    <row r="13" spans="2:10" ht="13.8" thickBot="1" x14ac:dyDescent="0.3"/>
    <row r="14" spans="2:10" x14ac:dyDescent="0.25">
      <c r="B14" s="102" t="s">
        <v>18</v>
      </c>
      <c r="C14" s="122">
        <v>970</v>
      </c>
      <c r="D14" s="104"/>
    </row>
    <row r="15" spans="2:10" x14ac:dyDescent="0.25">
      <c r="B15" s="105" t="s">
        <v>3</v>
      </c>
      <c r="C15" s="106">
        <v>1000</v>
      </c>
      <c r="D15" s="107"/>
    </row>
    <row r="16" spans="2:10" ht="13.8" thickBot="1" x14ac:dyDescent="0.3">
      <c r="B16" s="105" t="s">
        <v>38</v>
      </c>
      <c r="C16" s="123">
        <v>4</v>
      </c>
      <c r="D16" s="107" t="s">
        <v>60</v>
      </c>
    </row>
    <row r="17" spans="2:11" ht="13.8" thickBot="1" x14ac:dyDescent="0.3">
      <c r="B17" s="105" t="s">
        <v>61</v>
      </c>
      <c r="C17" s="116">
        <v>0.02</v>
      </c>
      <c r="D17" s="107" t="s">
        <v>14</v>
      </c>
      <c r="H17" s="24" t="s">
        <v>66</v>
      </c>
      <c r="I17" s="25"/>
      <c r="J17" s="26">
        <f>SUM(E24:E27)</f>
        <v>1134.7628057489417</v>
      </c>
      <c r="K17" s="27">
        <f>NPV(C17,D24:D27)*(1+C17)^C16</f>
        <v>1134.7628057489417</v>
      </c>
    </row>
    <row r="18" spans="2:11" ht="13.8" thickBot="1" x14ac:dyDescent="0.3">
      <c r="B18" s="105" t="s">
        <v>62</v>
      </c>
      <c r="C18" s="116">
        <v>0.04</v>
      </c>
      <c r="D18" s="107"/>
      <c r="H18" s="28" t="s">
        <v>67</v>
      </c>
      <c r="I18" s="29"/>
      <c r="J18" s="223">
        <f>RATE(4,0,-C14,K17)</f>
        <v>4.0000000584026904E-2</v>
      </c>
      <c r="K18" s="30" t="s">
        <v>14</v>
      </c>
    </row>
    <row r="19" spans="2:11" ht="13.8" thickBot="1" x14ac:dyDescent="0.3">
      <c r="B19" s="108" t="s">
        <v>4</v>
      </c>
      <c r="C19" s="222">
        <v>32.696657651319988</v>
      </c>
      <c r="D19" s="221" t="s">
        <v>96</v>
      </c>
    </row>
    <row r="21" spans="2:11" ht="13.8" thickBot="1" x14ac:dyDescent="0.3"/>
    <row r="22" spans="2:11" x14ac:dyDescent="0.25">
      <c r="B22" s="78" t="s">
        <v>1</v>
      </c>
      <c r="C22" s="79" t="s">
        <v>2</v>
      </c>
      <c r="D22" s="79" t="s">
        <v>19</v>
      </c>
      <c r="E22" s="80" t="s">
        <v>65</v>
      </c>
    </row>
    <row r="23" spans="2:11" x14ac:dyDescent="0.25">
      <c r="B23" s="41">
        <v>0</v>
      </c>
      <c r="C23" s="119">
        <f>-C14</f>
        <v>-970</v>
      </c>
      <c r="D23" s="120">
        <f>-C14</f>
        <v>-970</v>
      </c>
      <c r="E23" s="42"/>
    </row>
    <row r="24" spans="2:11" x14ac:dyDescent="0.25">
      <c r="B24" s="41">
        <v>1</v>
      </c>
      <c r="C24" s="119" t="s">
        <v>63</v>
      </c>
      <c r="D24" s="120">
        <f>+$C$19</f>
        <v>32.696657651319988</v>
      </c>
      <c r="E24" s="100">
        <f>+D24*(1+$C$17)^($C$16-B24)</f>
        <v>34.697954672841981</v>
      </c>
    </row>
    <row r="25" spans="2:11" x14ac:dyDescent="0.25">
      <c r="B25" s="41">
        <v>2</v>
      </c>
      <c r="C25" s="119" t="s">
        <v>63</v>
      </c>
      <c r="D25" s="120">
        <f>+$C$19</f>
        <v>32.696657651319988</v>
      </c>
      <c r="E25" s="100">
        <f>+D25*(1+$C$17)^($C$16-B25)</f>
        <v>34.017602620433316</v>
      </c>
    </row>
    <row r="26" spans="2:11" x14ac:dyDescent="0.25">
      <c r="B26" s="41">
        <v>3</v>
      </c>
      <c r="C26" s="119" t="s">
        <v>63</v>
      </c>
      <c r="D26" s="120">
        <f>+$C$19</f>
        <v>32.696657651319988</v>
      </c>
      <c r="E26" s="100">
        <f>+D26*(1+$C$17)^($C$16-B26)</f>
        <v>33.350590804346389</v>
      </c>
    </row>
    <row r="27" spans="2:11" ht="13.8" thickBot="1" x14ac:dyDescent="0.3">
      <c r="B27" s="43">
        <v>4</v>
      </c>
      <c r="C27" s="44" t="s">
        <v>64</v>
      </c>
      <c r="D27" s="121">
        <f>+$C$19+C15</f>
        <v>1032.69665765132</v>
      </c>
      <c r="E27" s="101">
        <f>+D27*(1+$C$17)^($C$16-B27)</f>
        <v>1032.69665765132</v>
      </c>
    </row>
    <row r="29" spans="2:11" ht="13.8" thickBot="1" x14ac:dyDescent="0.3"/>
    <row r="30" spans="2:11" x14ac:dyDescent="0.25">
      <c r="B30" s="254" t="s">
        <v>68</v>
      </c>
      <c r="C30" s="255"/>
      <c r="D30" s="255"/>
      <c r="E30" s="256"/>
    </row>
    <row r="31" spans="2:11" x14ac:dyDescent="0.25">
      <c r="B31" s="257"/>
      <c r="C31" s="258"/>
      <c r="D31" s="258"/>
      <c r="E31" s="259"/>
    </row>
    <row r="32" spans="2:11" ht="13.8" thickBot="1" x14ac:dyDescent="0.3">
      <c r="B32" s="38"/>
      <c r="C32" s="39"/>
      <c r="D32" s="39"/>
      <c r="E32" s="40"/>
    </row>
    <row r="33" spans="2:5" ht="13.8" thickBot="1" x14ac:dyDescent="0.3">
      <c r="B33" s="63" t="s">
        <v>4</v>
      </c>
      <c r="C33" s="220">
        <f>+((C14*((1+C18)^C16))-C15)/FV(C17,C16,-1)</f>
        <v>32.696657032886264</v>
      </c>
      <c r="D33" s="221" t="s">
        <v>97</v>
      </c>
      <c r="E33" s="40"/>
    </row>
    <row r="34" spans="2:5" ht="13.8" thickBot="1" x14ac:dyDescent="0.3">
      <c r="B34" s="46"/>
      <c r="C34" s="48"/>
      <c r="D34" s="48"/>
      <c r="E34" s="49"/>
    </row>
  </sheetData>
  <mergeCells count="3">
    <mergeCell ref="B30:E31"/>
    <mergeCell ref="B2:C2"/>
    <mergeCell ref="B6:J10"/>
  </mergeCells>
  <phoneticPr fontId="4" type="noConversion"/>
  <printOptions headings="1"/>
  <pageMargins left="0.78740157480314965" right="0.78740157480314965" top="0.56000000000000005" bottom="0.74" header="0" footer="0"/>
  <pageSetup paperSize="9" orientation="landscape" cellComments="asDisplayed" verticalDpi="360" r:id="rId1"/>
  <headerFooter alignWithMargins="0">
    <oddFooter>&amp;L&amp;A&amp;C&amp;"Arial,Negrita"www.excelavanzado.com &amp;R&amp;D</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J35"/>
  <sheetViews>
    <sheetView showGridLines="0" topLeftCell="A10" workbookViewId="0">
      <selection activeCell="E3" sqref="E3"/>
    </sheetView>
  </sheetViews>
  <sheetFormatPr baseColWidth="10" defaultRowHeight="13.2" x14ac:dyDescent="0.25"/>
  <cols>
    <col min="1" max="1" width="2.5546875" customWidth="1"/>
    <col min="4" max="4" width="15.88671875" bestFit="1" customWidth="1"/>
    <col min="10" max="10" width="4.44140625" customWidth="1"/>
  </cols>
  <sheetData>
    <row r="1" spans="2:9" ht="13.8" thickBot="1" x14ac:dyDescent="0.3"/>
    <row r="2" spans="2:9" ht="18.75" customHeight="1" thickBot="1" x14ac:dyDescent="0.3">
      <c r="B2" s="275" t="str">
        <f ca="1">RIGHT(CELL("nombrearchivo",A1),LEN(CELL("nombrearchivo",A1))-FIND("]",CELL("nombrearchivo",A1)))</f>
        <v>Bono10</v>
      </c>
      <c r="C2" s="276"/>
      <c r="E2" s="180"/>
    </row>
    <row r="3" spans="2:9" x14ac:dyDescent="0.25">
      <c r="E3" s="180"/>
    </row>
    <row r="4" spans="2:9" ht="17.399999999999999" x14ac:dyDescent="0.3">
      <c r="B4" s="148" t="s">
        <v>151</v>
      </c>
    </row>
    <row r="5" spans="2:9" ht="13.8" thickBot="1" x14ac:dyDescent="0.3"/>
    <row r="6" spans="2:9" x14ac:dyDescent="0.25">
      <c r="B6" s="260" t="s">
        <v>75</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2" t="s">
        <v>73</v>
      </c>
      <c r="E12" s="6">
        <f>VLOOKUP(C15,I23:J30,2,0)</f>
        <v>4</v>
      </c>
    </row>
    <row r="14" spans="2:9" ht="13.8" thickBot="1" x14ac:dyDescent="0.3"/>
    <row r="15" spans="2:9" x14ac:dyDescent="0.25">
      <c r="B15" s="70" t="s">
        <v>18</v>
      </c>
      <c r="C15" s="71">
        <v>1349.89</v>
      </c>
      <c r="D15" s="72"/>
    </row>
    <row r="16" spans="2:9" x14ac:dyDescent="0.25">
      <c r="B16" s="31" t="s">
        <v>4</v>
      </c>
      <c r="C16" s="87">
        <v>20</v>
      </c>
      <c r="D16" s="33" t="s">
        <v>11</v>
      </c>
    </row>
    <row r="17" spans="2:10" x14ac:dyDescent="0.25">
      <c r="B17" s="31" t="s">
        <v>8</v>
      </c>
      <c r="C17" s="74">
        <v>0.03</v>
      </c>
      <c r="D17" s="33" t="s">
        <v>14</v>
      </c>
    </row>
    <row r="18" spans="2:10" x14ac:dyDescent="0.25">
      <c r="B18" s="31" t="s">
        <v>13</v>
      </c>
      <c r="C18" s="88">
        <f>+(1+C17)^0.5-1</f>
        <v>1.4889156509221957E-2</v>
      </c>
      <c r="D18" s="33" t="s">
        <v>47</v>
      </c>
    </row>
    <row r="19" spans="2:10" x14ac:dyDescent="0.25">
      <c r="B19" s="31" t="s">
        <v>72</v>
      </c>
      <c r="C19" s="88">
        <f>+(1+C17)^(0.0833333333333333)-1</f>
        <v>2.4662697723036864E-3</v>
      </c>
      <c r="D19" s="33" t="s">
        <v>71</v>
      </c>
    </row>
    <row r="20" spans="2:10" ht="13.8" thickBot="1" x14ac:dyDescent="0.3">
      <c r="B20" s="35" t="s">
        <v>26</v>
      </c>
      <c r="C20" s="36" t="s">
        <v>69</v>
      </c>
      <c r="D20" s="77"/>
    </row>
    <row r="21" spans="2:10" ht="13.8" thickBot="1" x14ac:dyDescent="0.3"/>
    <row r="22" spans="2:10" x14ac:dyDescent="0.25">
      <c r="B22" s="78" t="s">
        <v>12</v>
      </c>
      <c r="C22" s="80" t="s">
        <v>19</v>
      </c>
      <c r="E22" s="67" t="s">
        <v>70</v>
      </c>
      <c r="F22" s="67"/>
      <c r="G22" s="67"/>
      <c r="H22" s="67"/>
      <c r="I22" s="68">
        <f>+C16/C18*(1+C18)</f>
        <v>1363.2594376728136</v>
      </c>
      <c r="J22" s="67">
        <v>0</v>
      </c>
    </row>
    <row r="23" spans="2:10" x14ac:dyDescent="0.25">
      <c r="B23" s="41">
        <v>0</v>
      </c>
      <c r="C23" s="42"/>
      <c r="E23" s="67">
        <v>1</v>
      </c>
      <c r="F23" s="67" t="str">
        <f>+"Valor de la Renta "&amp;E23&amp;" mes antes"</f>
        <v>Valor de la Renta 1 mes antes</v>
      </c>
      <c r="G23" s="67"/>
      <c r="H23" s="67"/>
      <c r="I23" s="68">
        <f>ROUND(+$I$22/(1+$C$19)^E23,2)</f>
        <v>1359.91</v>
      </c>
      <c r="J23" s="67">
        <v>1</v>
      </c>
    </row>
    <row r="24" spans="2:10" x14ac:dyDescent="0.25">
      <c r="B24" s="41">
        <v>1</v>
      </c>
      <c r="C24" s="89">
        <f>+$C$16</f>
        <v>20</v>
      </c>
      <c r="E24" s="67">
        <v>2</v>
      </c>
      <c r="F24" s="67" t="str">
        <f>+"Valor de la Renta "&amp;E24&amp;" meses antes"</f>
        <v>Valor de la Renta 2 meses antes</v>
      </c>
      <c r="G24" s="67"/>
      <c r="H24" s="67"/>
      <c r="I24" s="68">
        <f t="shared" ref="I24:I30" si="0">ROUND(+$I$22/(1+$C$19)^E24,2)</f>
        <v>1356.56</v>
      </c>
      <c r="J24" s="67">
        <v>2</v>
      </c>
    </row>
    <row r="25" spans="2:10" x14ac:dyDescent="0.25">
      <c r="B25" s="41">
        <v>2</v>
      </c>
      <c r="C25" s="89">
        <f t="shared" ref="C25:C31" si="1">+$C$16</f>
        <v>20</v>
      </c>
      <c r="E25" s="67">
        <v>3</v>
      </c>
      <c r="F25" s="67" t="str">
        <f t="shared" ref="F25:F30" si="2">+"Valor de la Renta "&amp;E25&amp;" meses antes"</f>
        <v>Valor de la Renta 3 meses antes</v>
      </c>
      <c r="G25" s="67"/>
      <c r="H25" s="67"/>
      <c r="I25" s="68">
        <f t="shared" si="0"/>
        <v>1353.22</v>
      </c>
      <c r="J25" s="67">
        <v>3</v>
      </c>
    </row>
    <row r="26" spans="2:10" x14ac:dyDescent="0.25">
      <c r="B26" s="41">
        <v>3</v>
      </c>
      <c r="C26" s="89">
        <f t="shared" si="1"/>
        <v>20</v>
      </c>
      <c r="E26" s="67">
        <v>4</v>
      </c>
      <c r="F26" s="67" t="str">
        <f t="shared" si="2"/>
        <v>Valor de la Renta 4 meses antes</v>
      </c>
      <c r="G26" s="67"/>
      <c r="H26" s="67"/>
      <c r="I26" s="68">
        <f t="shared" si="0"/>
        <v>1349.89</v>
      </c>
      <c r="J26" s="67">
        <v>4</v>
      </c>
    </row>
    <row r="27" spans="2:10" x14ac:dyDescent="0.25">
      <c r="B27" s="41">
        <v>4</v>
      </c>
      <c r="C27" s="89">
        <f t="shared" si="1"/>
        <v>20</v>
      </c>
      <c r="E27" s="67">
        <v>5</v>
      </c>
      <c r="F27" s="67" t="str">
        <f t="shared" si="2"/>
        <v>Valor de la Renta 5 meses antes</v>
      </c>
      <c r="G27" s="67"/>
      <c r="H27" s="67"/>
      <c r="I27" s="68">
        <f t="shared" si="0"/>
        <v>1346.57</v>
      </c>
      <c r="J27" s="67">
        <v>5</v>
      </c>
    </row>
    <row r="28" spans="2:10" x14ac:dyDescent="0.25">
      <c r="B28" s="41">
        <v>5</v>
      </c>
      <c r="C28" s="89">
        <f t="shared" si="1"/>
        <v>20</v>
      </c>
      <c r="E28" s="67">
        <v>6</v>
      </c>
      <c r="F28" s="67" t="str">
        <f t="shared" si="2"/>
        <v>Valor de la Renta 6 meses antes</v>
      </c>
      <c r="G28" s="67"/>
      <c r="H28" s="67"/>
      <c r="I28" s="68">
        <f t="shared" si="0"/>
        <v>1343.26</v>
      </c>
      <c r="J28" s="67">
        <v>6</v>
      </c>
    </row>
    <row r="29" spans="2:10" x14ac:dyDescent="0.25">
      <c r="B29" s="41">
        <v>6</v>
      </c>
      <c r="C29" s="89">
        <f t="shared" si="1"/>
        <v>20</v>
      </c>
      <c r="E29" s="67">
        <v>7</v>
      </c>
      <c r="F29" s="67" t="str">
        <f t="shared" si="2"/>
        <v>Valor de la Renta 7 meses antes</v>
      </c>
      <c r="G29" s="67"/>
      <c r="H29" s="67"/>
      <c r="I29" s="68">
        <f t="shared" si="0"/>
        <v>1339.95</v>
      </c>
      <c r="J29" s="67">
        <v>7</v>
      </c>
    </row>
    <row r="30" spans="2:10" x14ac:dyDescent="0.25">
      <c r="B30" s="41">
        <v>7</v>
      </c>
      <c r="C30" s="89">
        <f t="shared" si="1"/>
        <v>20</v>
      </c>
      <c r="E30" s="67">
        <v>8</v>
      </c>
      <c r="F30" s="67" t="str">
        <f t="shared" si="2"/>
        <v>Valor de la Renta 8 meses antes</v>
      </c>
      <c r="G30" s="67"/>
      <c r="H30" s="67"/>
      <c r="I30" s="68">
        <f t="shared" si="0"/>
        <v>1336.66</v>
      </c>
      <c r="J30" s="67">
        <v>8</v>
      </c>
    </row>
    <row r="31" spans="2:10" ht="13.8" thickBot="1" x14ac:dyDescent="0.3">
      <c r="B31" s="41">
        <v>8</v>
      </c>
      <c r="C31" s="89">
        <f t="shared" si="1"/>
        <v>20</v>
      </c>
    </row>
    <row r="32" spans="2:10" x14ac:dyDescent="0.25">
      <c r="B32" s="90" t="s">
        <v>56</v>
      </c>
      <c r="C32" s="91" t="s">
        <v>56</v>
      </c>
      <c r="E32" s="324" t="s">
        <v>74</v>
      </c>
      <c r="F32" s="325"/>
      <c r="G32" s="325"/>
      <c r="H32" s="325"/>
      <c r="I32" s="66">
        <f>ROUND(+I22/(1+C19)^I33,2)</f>
        <v>1349.89</v>
      </c>
    </row>
    <row r="33" spans="2:9" ht="13.8" thickBot="1" x14ac:dyDescent="0.3">
      <c r="B33" s="90" t="s">
        <v>56</v>
      </c>
      <c r="C33" s="91" t="s">
        <v>56</v>
      </c>
      <c r="E33" s="322" t="s">
        <v>73</v>
      </c>
      <c r="F33" s="323"/>
      <c r="G33" s="323"/>
      <c r="H33" s="323"/>
      <c r="I33" s="65">
        <v>4.0021408722966223</v>
      </c>
    </row>
    <row r="34" spans="2:9" ht="13.8" thickBot="1" x14ac:dyDescent="0.3">
      <c r="B34" s="90" t="s">
        <v>56</v>
      </c>
      <c r="C34" s="91" t="s">
        <v>56</v>
      </c>
    </row>
    <row r="35" spans="2:9" ht="15" customHeight="1" thickBot="1" x14ac:dyDescent="0.35">
      <c r="B35" s="92" t="s">
        <v>57</v>
      </c>
      <c r="C35" s="93" t="str">
        <f>+$C$16&amp;"+N"</f>
        <v>20+N</v>
      </c>
      <c r="H35" s="250" t="s">
        <v>156</v>
      </c>
      <c r="I35" s="249">
        <f>+I32-C15</f>
        <v>0</v>
      </c>
    </row>
  </sheetData>
  <mergeCells count="4">
    <mergeCell ref="B6:I10"/>
    <mergeCell ref="E33:H33"/>
    <mergeCell ref="E32:H32"/>
    <mergeCell ref="B2:C2"/>
  </mergeCells>
  <phoneticPr fontId="4" type="noConversion"/>
  <printOptions headings="1"/>
  <pageMargins left="0.78740157480314965" right="0.78740157480314965" top="0.69" bottom="0.45" header="0" footer="0"/>
  <pageSetup paperSize="9" orientation="landscape" cellComments="asDisplayed" verticalDpi="360" r:id="rId1"/>
  <headerFooter alignWithMargins="0">
    <oddFooter>&amp;L&amp;A&amp;C&amp;"Arial,Negrita"www.excelavanzado.com &amp;R&amp;D</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I31"/>
  <sheetViews>
    <sheetView showGridLines="0" workbookViewId="0">
      <selection activeCell="E4" sqref="E4"/>
    </sheetView>
  </sheetViews>
  <sheetFormatPr baseColWidth="10" defaultRowHeight="13.2" x14ac:dyDescent="0.25"/>
  <cols>
    <col min="1" max="1" width="2.5546875" customWidth="1"/>
    <col min="2" max="2" width="22.33203125" bestFit="1" customWidth="1"/>
    <col min="3" max="3" width="12.33203125" bestFit="1" customWidth="1"/>
    <col min="4" max="4" width="15.88671875" bestFit="1" customWidth="1"/>
  </cols>
  <sheetData>
    <row r="1" spans="2:9" ht="13.8" thickBot="1" x14ac:dyDescent="0.3"/>
    <row r="2" spans="2:9" ht="18.75" customHeight="1" thickBot="1" x14ac:dyDescent="0.3">
      <c r="B2" s="275" t="str">
        <f ca="1">RIGHT(CELL("nombrearchivo",A1),LEN(CELL("nombrearchivo",A1))-FIND("]",CELL("nombrearchivo",A1)))</f>
        <v>Bono11</v>
      </c>
      <c r="C2" s="276"/>
      <c r="E2" s="180"/>
    </row>
    <row r="3" spans="2:9" x14ac:dyDescent="0.25">
      <c r="E3" s="180"/>
    </row>
    <row r="4" spans="2:9" ht="17.399999999999999" x14ac:dyDescent="0.3">
      <c r="B4" s="148" t="s">
        <v>152</v>
      </c>
    </row>
    <row r="5" spans="2:9" ht="13.8" thickBot="1" x14ac:dyDescent="0.3"/>
    <row r="6" spans="2:9" x14ac:dyDescent="0.25">
      <c r="B6" s="260" t="s">
        <v>85</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2" t="s">
        <v>84</v>
      </c>
      <c r="E12" s="20">
        <f>+D28</f>
        <v>934.83397194763859</v>
      </c>
    </row>
    <row r="13" spans="2:9" ht="13.8" thickBot="1" x14ac:dyDescent="0.3"/>
    <row r="14" spans="2:9" x14ac:dyDescent="0.25">
      <c r="B14" s="70" t="s">
        <v>3</v>
      </c>
      <c r="C14" s="71">
        <v>1000</v>
      </c>
      <c r="D14" s="72"/>
    </row>
    <row r="15" spans="2:9" x14ac:dyDescent="0.25">
      <c r="B15" s="31" t="s">
        <v>76</v>
      </c>
      <c r="C15" s="73">
        <v>38169</v>
      </c>
      <c r="D15" s="33"/>
    </row>
    <row r="16" spans="2:9" x14ac:dyDescent="0.25">
      <c r="B16" s="31" t="s">
        <v>18</v>
      </c>
      <c r="C16" s="32">
        <v>922</v>
      </c>
      <c r="D16" s="33"/>
    </row>
    <row r="17" spans="2:4" x14ac:dyDescent="0.25">
      <c r="B17" s="31" t="s">
        <v>77</v>
      </c>
      <c r="C17" s="73">
        <v>38353</v>
      </c>
      <c r="D17" s="33"/>
    </row>
    <row r="18" spans="2:4" x14ac:dyDescent="0.25">
      <c r="B18" s="31" t="s">
        <v>78</v>
      </c>
      <c r="C18" s="73">
        <v>38473</v>
      </c>
      <c r="D18" s="33"/>
    </row>
    <row r="19" spans="2:4" x14ac:dyDescent="0.25">
      <c r="B19" s="31" t="s">
        <v>79</v>
      </c>
      <c r="C19" s="74">
        <v>0.05</v>
      </c>
      <c r="D19" s="33" t="s">
        <v>14</v>
      </c>
    </row>
    <row r="20" spans="2:4" x14ac:dyDescent="0.25">
      <c r="B20" s="31" t="s">
        <v>81</v>
      </c>
      <c r="C20" s="74">
        <v>0.05</v>
      </c>
      <c r="D20" s="33" t="s">
        <v>45</v>
      </c>
    </row>
    <row r="21" spans="2:4" x14ac:dyDescent="0.25">
      <c r="B21" s="31" t="s">
        <v>49</v>
      </c>
      <c r="C21" s="75">
        <f>+C20/2</f>
        <v>2.5000000000000001E-2</v>
      </c>
      <c r="D21" s="33" t="s">
        <v>47</v>
      </c>
    </row>
    <row r="22" spans="2:4" ht="13.8" thickBot="1" x14ac:dyDescent="0.3">
      <c r="B22" s="35" t="s">
        <v>80</v>
      </c>
      <c r="C22" s="76">
        <f>+C21*C14</f>
        <v>25</v>
      </c>
      <c r="D22" s="77"/>
    </row>
    <row r="24" spans="2:4" ht="13.8" thickBot="1" x14ac:dyDescent="0.3"/>
    <row r="25" spans="2:4" x14ac:dyDescent="0.25">
      <c r="B25" s="78" t="s">
        <v>27</v>
      </c>
      <c r="C25" s="79" t="s">
        <v>2</v>
      </c>
      <c r="D25" s="80" t="s">
        <v>83</v>
      </c>
    </row>
    <row r="26" spans="2:4" x14ac:dyDescent="0.25">
      <c r="B26" s="81">
        <f>+C15</f>
        <v>38169</v>
      </c>
      <c r="C26" s="82">
        <f>-C16</f>
        <v>-922</v>
      </c>
      <c r="D26" s="83">
        <f>+C26</f>
        <v>-922</v>
      </c>
    </row>
    <row r="27" spans="2:4" x14ac:dyDescent="0.25">
      <c r="B27" s="81">
        <f>+C17</f>
        <v>38353</v>
      </c>
      <c r="C27" s="82">
        <f>+C22</f>
        <v>25</v>
      </c>
      <c r="D27" s="83">
        <f>+C27</f>
        <v>25</v>
      </c>
    </row>
    <row r="28" spans="2:4" ht="13.8" thickBot="1" x14ac:dyDescent="0.3">
      <c r="B28" s="84">
        <f>+C18</f>
        <v>38473</v>
      </c>
      <c r="C28" s="85" t="s">
        <v>82</v>
      </c>
      <c r="D28" s="224">
        <v>934.83397194763859</v>
      </c>
    </row>
    <row r="30" spans="2:4" ht="13.8" thickBot="1" x14ac:dyDescent="0.3"/>
    <row r="31" spans="2:4" ht="13.8" thickBot="1" x14ac:dyDescent="0.3">
      <c r="C31" s="140" t="s">
        <v>8</v>
      </c>
      <c r="D31" s="225">
        <f>XIRR(D26:D28,B26:B28,C19)</f>
        <v>4.9999979138374326E-2</v>
      </c>
    </row>
  </sheetData>
  <mergeCells count="2">
    <mergeCell ref="B6:I10"/>
    <mergeCell ref="B2:C2"/>
  </mergeCells>
  <phoneticPr fontId="4" type="noConversion"/>
  <printOptions headings="1"/>
  <pageMargins left="0.39370078740157483" right="0.39370078740157483" top="0.98425196850393704" bottom="0.98425196850393704" header="0" footer="0"/>
  <pageSetup paperSize="9" orientation="landscape" cellComments="asDisplayed" horizontalDpi="360" verticalDpi="360" r:id="rId1"/>
  <headerFooter alignWithMargins="0">
    <oddFooter>&amp;L&amp;A&amp;C&amp;"Arial,Negrita"www.excelavanzado.com &amp;R&amp;D</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I33"/>
  <sheetViews>
    <sheetView showGridLines="0" topLeftCell="A13" workbookViewId="0">
      <selection activeCell="E2" sqref="E2"/>
    </sheetView>
  </sheetViews>
  <sheetFormatPr baseColWidth="10" defaultRowHeight="13.2" x14ac:dyDescent="0.25"/>
  <cols>
    <col min="1" max="1" width="2.5546875" customWidth="1"/>
    <col min="2" max="2" width="16.109375" bestFit="1" customWidth="1"/>
    <col min="4" max="4" width="12.33203125" customWidth="1"/>
    <col min="6" max="6" width="12" customWidth="1"/>
    <col min="8" max="8" width="13.5546875" customWidth="1"/>
  </cols>
  <sheetData>
    <row r="1" spans="2:9" ht="13.8" thickBot="1" x14ac:dyDescent="0.3"/>
    <row r="2" spans="2:9" ht="18.75" customHeight="1" thickBot="1" x14ac:dyDescent="0.3">
      <c r="B2" s="275" t="str">
        <f ca="1">RIGHT(CELL("nombrearchivo",A1),LEN(CELL("nombrearchivo",A1))-FIND("]",CELL("nombrearchivo",A1)))</f>
        <v>Bono12</v>
      </c>
      <c r="C2" s="276"/>
      <c r="E2" s="180"/>
    </row>
    <row r="4" spans="2:9" ht="17.399999999999999" x14ac:dyDescent="0.3">
      <c r="B4" s="148" t="s">
        <v>31</v>
      </c>
    </row>
    <row r="5" spans="2:9" ht="13.8" thickBot="1" x14ac:dyDescent="0.3"/>
    <row r="6" spans="2:9" x14ac:dyDescent="0.25">
      <c r="B6" s="260" t="s">
        <v>21</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row r="12" spans="2:9" ht="13.8" thickBot="1" x14ac:dyDescent="0.3">
      <c r="B12" s="1" t="s">
        <v>0</v>
      </c>
      <c r="D12" s="7" t="s">
        <v>8</v>
      </c>
      <c r="E12" s="8">
        <f>+H26</f>
        <v>2.0066228508949284E-2</v>
      </c>
      <c r="F12" s="9" t="s">
        <v>14</v>
      </c>
    </row>
    <row r="13" spans="2:9" x14ac:dyDescent="0.25">
      <c r="D13" s="10" t="s">
        <v>18</v>
      </c>
      <c r="E13" s="14">
        <f>+H24</f>
        <v>1073.3499999999999</v>
      </c>
      <c r="F13" s="11"/>
    </row>
    <row r="14" spans="2:9" ht="13.8" thickBot="1" x14ac:dyDescent="0.3">
      <c r="D14" s="12" t="s">
        <v>31</v>
      </c>
      <c r="E14" s="15">
        <f>+H22</f>
        <v>14.61</v>
      </c>
      <c r="F14" s="13"/>
    </row>
    <row r="17" spans="2:8" ht="13.8" thickBot="1" x14ac:dyDescent="0.3"/>
    <row r="18" spans="2:8" x14ac:dyDescent="0.25">
      <c r="B18" s="70" t="s">
        <v>22</v>
      </c>
      <c r="C18" s="126">
        <v>38277</v>
      </c>
      <c r="E18" s="135" t="s">
        <v>28</v>
      </c>
      <c r="F18" s="69"/>
      <c r="G18" s="69"/>
      <c r="H18" s="136">
        <f>+B30-B29</f>
        <v>124</v>
      </c>
    </row>
    <row r="19" spans="2:8" x14ac:dyDescent="0.25">
      <c r="B19" s="31" t="s">
        <v>24</v>
      </c>
      <c r="C19" s="127">
        <v>1.05874</v>
      </c>
      <c r="E19" s="137" t="s">
        <v>29</v>
      </c>
      <c r="F19" s="21"/>
      <c r="G19" s="21"/>
      <c r="H19" s="138">
        <f>+B31-B30</f>
        <v>241</v>
      </c>
    </row>
    <row r="20" spans="2:8" ht="13.8" thickBot="1" x14ac:dyDescent="0.3">
      <c r="B20" s="31" t="s">
        <v>23</v>
      </c>
      <c r="C20" s="34">
        <v>1058.74</v>
      </c>
      <c r="E20" s="22" t="s">
        <v>30</v>
      </c>
      <c r="F20" s="23"/>
      <c r="G20" s="23"/>
      <c r="H20" s="139">
        <f>+H19+H18</f>
        <v>365</v>
      </c>
    </row>
    <row r="21" spans="2:8" ht="13.8" thickBot="1" x14ac:dyDescent="0.3">
      <c r="B21" s="31" t="s">
        <v>3</v>
      </c>
      <c r="C21" s="34">
        <f>+C20/C19</f>
        <v>1000</v>
      </c>
    </row>
    <row r="22" spans="2:8" ht="13.8" thickBot="1" x14ac:dyDescent="0.3">
      <c r="B22" s="31" t="s">
        <v>5</v>
      </c>
      <c r="C22" s="128">
        <v>4.2999999999999997E-2</v>
      </c>
      <c r="E22" s="18" t="s">
        <v>31</v>
      </c>
      <c r="F22" s="132"/>
      <c r="G22" s="132"/>
      <c r="H22" s="19">
        <f>ROUND(+C23*H18/H20,2)</f>
        <v>14.61</v>
      </c>
    </row>
    <row r="23" spans="2:8" ht="13.8" thickBot="1" x14ac:dyDescent="0.3">
      <c r="B23" s="31" t="s">
        <v>4</v>
      </c>
      <c r="C23" s="129">
        <f>+C22*C21</f>
        <v>43</v>
      </c>
    </row>
    <row r="24" spans="2:8" ht="13.8" thickBot="1" x14ac:dyDescent="0.3">
      <c r="B24" s="31" t="s">
        <v>25</v>
      </c>
      <c r="C24" s="130">
        <v>37787</v>
      </c>
      <c r="E24" s="18" t="s">
        <v>32</v>
      </c>
      <c r="F24" s="132"/>
      <c r="G24" s="132"/>
      <c r="H24" s="133">
        <f>+C20+H22</f>
        <v>1073.3499999999999</v>
      </c>
    </row>
    <row r="25" spans="2:8" ht="13.8" thickBot="1" x14ac:dyDescent="0.3">
      <c r="B25" s="35" t="s">
        <v>26</v>
      </c>
      <c r="C25" s="131">
        <v>39248</v>
      </c>
    </row>
    <row r="26" spans="2:8" ht="13.8" thickBot="1" x14ac:dyDescent="0.3">
      <c r="E26" s="18" t="s">
        <v>8</v>
      </c>
      <c r="F26" s="132"/>
      <c r="G26" s="132"/>
      <c r="H26" s="134">
        <f>XIRR(C30:C33,B30:B33)</f>
        <v>2.0066228508949284E-2</v>
      </c>
    </row>
    <row r="27" spans="2:8" ht="13.8" thickBot="1" x14ac:dyDescent="0.3"/>
    <row r="28" spans="2:8" x14ac:dyDescent="0.25">
      <c r="B28" s="78" t="s">
        <v>27</v>
      </c>
      <c r="C28" s="80" t="s">
        <v>33</v>
      </c>
    </row>
    <row r="29" spans="2:8" x14ac:dyDescent="0.25">
      <c r="B29" s="124">
        <v>38153</v>
      </c>
      <c r="C29" s="42"/>
    </row>
    <row r="30" spans="2:8" x14ac:dyDescent="0.25">
      <c r="B30" s="124">
        <f>+C18</f>
        <v>38277</v>
      </c>
      <c r="C30" s="83">
        <f>-H24</f>
        <v>-1073.3499999999999</v>
      </c>
    </row>
    <row r="31" spans="2:8" x14ac:dyDescent="0.25">
      <c r="B31" s="124">
        <v>38518</v>
      </c>
      <c r="C31" s="83">
        <f>+$C$23</f>
        <v>43</v>
      </c>
    </row>
    <row r="32" spans="2:8" x14ac:dyDescent="0.25">
      <c r="B32" s="124">
        <v>38883</v>
      </c>
      <c r="C32" s="83">
        <f>+$C$23</f>
        <v>43</v>
      </c>
    </row>
    <row r="33" spans="2:3" ht="13.8" thickBot="1" x14ac:dyDescent="0.3">
      <c r="B33" s="125">
        <v>39248</v>
      </c>
      <c r="C33" s="86">
        <f>+$C$23+C21</f>
        <v>1043</v>
      </c>
    </row>
  </sheetData>
  <mergeCells count="2">
    <mergeCell ref="B6:I10"/>
    <mergeCell ref="B2:C2"/>
  </mergeCells>
  <phoneticPr fontId="4" type="noConversion"/>
  <printOptions headings="1"/>
  <pageMargins left="0.78740157480314965" right="0.39370078740157483" top="0.98425196850393704" bottom="0.98425196850393704" header="0" footer="0"/>
  <pageSetup paperSize="9" orientation="landscape" cellComments="asDisplayed" horizontalDpi="360" verticalDpi="360" r:id="rId1"/>
  <headerFooter alignWithMargins="0">
    <oddFooter>&amp;L&amp;A&amp;C&amp;"Arial,Negrita"www.excelavanzado.com &amp;R&amp;D</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I28"/>
  <sheetViews>
    <sheetView showGridLines="0" workbookViewId="0">
      <selection activeCell="F2" sqref="F2"/>
    </sheetView>
  </sheetViews>
  <sheetFormatPr baseColWidth="10" defaultRowHeight="13.2" x14ac:dyDescent="0.25"/>
  <cols>
    <col min="1" max="1" width="2.5546875" customWidth="1"/>
    <col min="6" max="6" width="13.33203125" bestFit="1" customWidth="1"/>
  </cols>
  <sheetData>
    <row r="1" spans="2:9" ht="13.8" thickBot="1" x14ac:dyDescent="0.3"/>
    <row r="2" spans="2:9" ht="21" customHeight="1" thickBot="1" x14ac:dyDescent="0.3">
      <c r="B2" s="275" t="str">
        <f ca="1">RIGHT(CELL("nombrearchivo",A1),LEN(CELL("nombrearchivo",A1))-FIND("]",CELL("nombrearchivo",A1)))</f>
        <v>Bono13</v>
      </c>
      <c r="C2" s="276"/>
      <c r="F2" s="180"/>
    </row>
    <row r="3" spans="2:9" ht="12.75" customHeight="1" x14ac:dyDescent="0.25"/>
    <row r="4" spans="2:9" ht="17.25" customHeight="1" x14ac:dyDescent="0.3">
      <c r="B4" s="148" t="s">
        <v>105</v>
      </c>
    </row>
    <row r="5" spans="2:9" ht="12.75" customHeight="1" thickBot="1" x14ac:dyDescent="0.3"/>
    <row r="6" spans="2:9" x14ac:dyDescent="0.25">
      <c r="B6" s="260" t="s">
        <v>106</v>
      </c>
      <c r="C6" s="261"/>
      <c r="D6" s="261"/>
      <c r="E6" s="261"/>
      <c r="F6" s="261"/>
      <c r="G6" s="261"/>
      <c r="H6" s="261"/>
      <c r="I6" s="262"/>
    </row>
    <row r="7" spans="2:9" x14ac:dyDescent="0.25">
      <c r="B7" s="263"/>
      <c r="C7" s="264"/>
      <c r="D7" s="264"/>
      <c r="E7" s="264"/>
      <c r="F7" s="264"/>
      <c r="G7" s="264"/>
      <c r="H7" s="264"/>
      <c r="I7" s="265"/>
    </row>
    <row r="8" spans="2:9" x14ac:dyDescent="0.25">
      <c r="B8" s="263"/>
      <c r="C8" s="264"/>
      <c r="D8" s="264"/>
      <c r="E8" s="264"/>
      <c r="F8" s="264"/>
      <c r="G8" s="264"/>
      <c r="H8" s="264"/>
      <c r="I8" s="265"/>
    </row>
    <row r="9" spans="2:9" x14ac:dyDescent="0.25">
      <c r="B9" s="263"/>
      <c r="C9" s="264"/>
      <c r="D9" s="264"/>
      <c r="E9" s="264"/>
      <c r="F9" s="264"/>
      <c r="G9" s="264"/>
      <c r="H9" s="264"/>
      <c r="I9" s="265"/>
    </row>
    <row r="10" spans="2:9" ht="13.8" thickBot="1" x14ac:dyDescent="0.3">
      <c r="B10" s="266"/>
      <c r="C10" s="267"/>
      <c r="D10" s="267"/>
      <c r="E10" s="267"/>
      <c r="F10" s="267"/>
      <c r="G10" s="267"/>
      <c r="H10" s="267"/>
      <c r="I10" s="268"/>
    </row>
    <row r="11" spans="2:9" ht="13.8" thickBot="1" x14ac:dyDescent="0.3">
      <c r="B11" s="167"/>
      <c r="C11" s="167"/>
      <c r="D11" s="167"/>
      <c r="E11" s="167"/>
      <c r="F11" s="167"/>
      <c r="G11" s="167"/>
      <c r="H11" s="167"/>
      <c r="I11" s="167"/>
    </row>
    <row r="12" spans="2:9" x14ac:dyDescent="0.25">
      <c r="B12" s="172" t="s">
        <v>107</v>
      </c>
      <c r="C12" s="173" t="s">
        <v>108</v>
      </c>
      <c r="E12" s="172" t="s">
        <v>107</v>
      </c>
      <c r="F12" s="173" t="s">
        <v>108</v>
      </c>
      <c r="H12" s="168" t="s">
        <v>4</v>
      </c>
      <c r="I12" s="169">
        <v>52</v>
      </c>
    </row>
    <row r="13" spans="2:9" ht="13.8" thickBot="1" x14ac:dyDescent="0.3">
      <c r="B13" s="174">
        <v>0</v>
      </c>
      <c r="C13" s="175">
        <v>-1000</v>
      </c>
      <c r="E13" s="174">
        <v>0</v>
      </c>
      <c r="F13" s="175">
        <f>-I13</f>
        <v>-1000</v>
      </c>
      <c r="H13" s="170" t="s">
        <v>18</v>
      </c>
      <c r="I13" s="171">
        <v>1000</v>
      </c>
    </row>
    <row r="14" spans="2:9" x14ac:dyDescent="0.25">
      <c r="B14" s="174">
        <v>1</v>
      </c>
      <c r="C14" s="175">
        <f t="shared" ref="C14:C20" si="0">+$I$12</f>
        <v>52</v>
      </c>
      <c r="E14" s="174">
        <v>1</v>
      </c>
      <c r="F14" s="175">
        <v>52</v>
      </c>
    </row>
    <row r="15" spans="2:9" x14ac:dyDescent="0.25">
      <c r="B15" s="174">
        <v>2</v>
      </c>
      <c r="C15" s="175">
        <f t="shared" si="0"/>
        <v>52</v>
      </c>
      <c r="E15" s="174">
        <v>2</v>
      </c>
      <c r="F15" s="175">
        <v>52</v>
      </c>
    </row>
    <row r="16" spans="2:9" ht="13.5" customHeight="1" x14ac:dyDescent="0.25">
      <c r="B16" s="174">
        <v>3</v>
      </c>
      <c r="C16" s="175">
        <f t="shared" si="0"/>
        <v>52</v>
      </c>
      <c r="E16" s="174">
        <v>3</v>
      </c>
      <c r="F16" s="175">
        <v>52</v>
      </c>
      <c r="I16" s="252" t="s">
        <v>8</v>
      </c>
    </row>
    <row r="17" spans="2:9" x14ac:dyDescent="0.25">
      <c r="B17" s="174">
        <v>4</v>
      </c>
      <c r="C17" s="175">
        <f t="shared" si="0"/>
        <v>52</v>
      </c>
      <c r="E17" s="174">
        <v>4</v>
      </c>
      <c r="F17" s="175">
        <v>52</v>
      </c>
      <c r="H17" s="251" t="s">
        <v>101</v>
      </c>
      <c r="I17" s="253">
        <f>+I12/I13</f>
        <v>5.1999999999999998E-2</v>
      </c>
    </row>
    <row r="18" spans="2:9" x14ac:dyDescent="0.25">
      <c r="B18" s="174">
        <v>5</v>
      </c>
      <c r="C18" s="175">
        <f t="shared" si="0"/>
        <v>52</v>
      </c>
      <c r="E18" s="177" t="s">
        <v>56</v>
      </c>
      <c r="F18" s="178" t="s">
        <v>56</v>
      </c>
      <c r="H18" s="251" t="s">
        <v>103</v>
      </c>
      <c r="I18" s="253">
        <f>IRR(C13:C21)</f>
        <v>5.2000000007178082E-2</v>
      </c>
    </row>
    <row r="19" spans="2:9" x14ac:dyDescent="0.25">
      <c r="B19" s="174">
        <v>6</v>
      </c>
      <c r="C19" s="175">
        <f t="shared" si="0"/>
        <v>52</v>
      </c>
      <c r="E19" s="177" t="s">
        <v>56</v>
      </c>
      <c r="F19" s="178" t="s">
        <v>56</v>
      </c>
      <c r="H19" s="251" t="s">
        <v>104</v>
      </c>
      <c r="I19" s="253">
        <f>IRR(F13:F21)</f>
        <v>5.2000000000009816E-2</v>
      </c>
    </row>
    <row r="20" spans="2:9" x14ac:dyDescent="0.25">
      <c r="B20" s="174">
        <v>7</v>
      </c>
      <c r="C20" s="175">
        <f t="shared" si="0"/>
        <v>52</v>
      </c>
      <c r="E20" s="177" t="s">
        <v>56</v>
      </c>
      <c r="F20" s="179" t="s">
        <v>56</v>
      </c>
    </row>
    <row r="21" spans="2:9" ht="18" thickBot="1" x14ac:dyDescent="0.35">
      <c r="B21" s="176" t="s">
        <v>57</v>
      </c>
      <c r="C21" s="171">
        <f>+$I$12+1000</f>
        <v>1052</v>
      </c>
      <c r="E21" s="176" t="s">
        <v>57</v>
      </c>
      <c r="F21" s="171">
        <f>+$I$12+1000</f>
        <v>1052</v>
      </c>
    </row>
    <row r="28" spans="2:9" ht="23.25" customHeight="1" x14ac:dyDescent="0.25"/>
  </sheetData>
  <mergeCells count="2">
    <mergeCell ref="B2:C2"/>
    <mergeCell ref="B6:I10"/>
  </mergeCells>
  <phoneticPr fontId="4" type="noConversion"/>
  <printOptions headings="1"/>
  <pageMargins left="0.75" right="0.75" top="1" bottom="1" header="0" footer="0"/>
  <pageSetup paperSize="9" orientation="landscape" verticalDpi="0" r:id="rId1"/>
  <headerFooter alignWithMargins="0">
    <oddFooter>&amp;L&amp;A&amp;C&amp;"Arial,Negrita"www.excelavanzado.com &amp;R&amp;D</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O514"/>
  <sheetViews>
    <sheetView showGridLines="0" topLeftCell="A4" workbookViewId="0">
      <selection activeCell="M7" sqref="M7"/>
    </sheetView>
  </sheetViews>
  <sheetFormatPr baseColWidth="10" defaultRowHeight="13.2" x14ac:dyDescent="0.25"/>
  <cols>
    <col min="1" max="1" width="2.5546875" customWidth="1"/>
    <col min="4" max="4" width="11.88671875" bestFit="1" customWidth="1"/>
    <col min="7" max="7" width="11.5546875" customWidth="1"/>
    <col min="8" max="8" width="3.33203125" customWidth="1"/>
    <col min="10" max="10" width="13.33203125" bestFit="1" customWidth="1"/>
    <col min="11" max="11" width="3.5546875" customWidth="1"/>
    <col min="12" max="14" width="13.5546875" bestFit="1" customWidth="1"/>
    <col min="15" max="15" width="12.5546875" bestFit="1" customWidth="1"/>
    <col min="16" max="16" width="13.5546875" bestFit="1" customWidth="1"/>
  </cols>
  <sheetData>
    <row r="1" spans="2:14" ht="13.8" thickBot="1" x14ac:dyDescent="0.3"/>
    <row r="2" spans="2:14" ht="21" customHeight="1" thickBot="1" x14ac:dyDescent="0.3">
      <c r="B2" s="275" t="str">
        <f ca="1">RIGHT(CELL("nombrearchivo",A1),LEN(CELL("nombrearchivo",A1))-FIND("]",CELL("nombrearchivo",A1)))</f>
        <v>Bono14</v>
      </c>
      <c r="C2" s="276"/>
    </row>
    <row r="4" spans="2:14" ht="18.75" customHeight="1" x14ac:dyDescent="0.3">
      <c r="B4" s="148" t="s">
        <v>109</v>
      </c>
    </row>
    <row r="5" spans="2:14" ht="13.8" thickBot="1" x14ac:dyDescent="0.3"/>
    <row r="6" spans="2:14" x14ac:dyDescent="0.25">
      <c r="B6" s="260" t="s">
        <v>110</v>
      </c>
      <c r="C6" s="261"/>
      <c r="D6" s="261"/>
      <c r="E6" s="261"/>
      <c r="F6" s="261"/>
      <c r="G6" s="261"/>
      <c r="H6" s="261"/>
      <c r="I6" s="262"/>
      <c r="M6" s="180"/>
    </row>
    <row r="7" spans="2:14" x14ac:dyDescent="0.25">
      <c r="B7" s="263"/>
      <c r="C7" s="264"/>
      <c r="D7" s="264"/>
      <c r="E7" s="264"/>
      <c r="F7" s="264"/>
      <c r="G7" s="264"/>
      <c r="H7" s="264"/>
      <c r="I7" s="265"/>
      <c r="M7" s="180"/>
    </row>
    <row r="8" spans="2:14" x14ac:dyDescent="0.25">
      <c r="B8" s="263"/>
      <c r="C8" s="264"/>
      <c r="D8" s="264"/>
      <c r="E8" s="264"/>
      <c r="F8" s="264"/>
      <c r="G8" s="264"/>
      <c r="H8" s="264"/>
      <c r="I8" s="265"/>
    </row>
    <row r="9" spans="2:14" x14ac:dyDescent="0.25">
      <c r="B9" s="263"/>
      <c r="C9" s="264"/>
      <c r="D9" s="264"/>
      <c r="E9" s="264"/>
      <c r="F9" s="264"/>
      <c r="G9" s="264"/>
      <c r="H9" s="264"/>
      <c r="I9" s="265"/>
    </row>
    <row r="10" spans="2:14" ht="13.8" thickBot="1" x14ac:dyDescent="0.3">
      <c r="B10" s="266"/>
      <c r="C10" s="267"/>
      <c r="D10" s="267"/>
      <c r="E10" s="267"/>
      <c r="F10" s="267"/>
      <c r="G10" s="267"/>
      <c r="H10" s="267"/>
      <c r="I10" s="268"/>
      <c r="J10" s="180"/>
    </row>
    <row r="12" spans="2:14" ht="13.8" thickBot="1" x14ac:dyDescent="0.3"/>
    <row r="13" spans="2:14" ht="13.8" thickBot="1" x14ac:dyDescent="0.3">
      <c r="B13" s="172" t="s">
        <v>12</v>
      </c>
      <c r="C13" s="181" t="s">
        <v>2</v>
      </c>
      <c r="D13" s="173" t="s">
        <v>8</v>
      </c>
      <c r="F13" s="326" t="s">
        <v>101</v>
      </c>
      <c r="G13" s="327"/>
      <c r="I13" s="326" t="s">
        <v>103</v>
      </c>
      <c r="J13" s="327"/>
      <c r="L13" s="326" t="s">
        <v>104</v>
      </c>
      <c r="M13" s="327"/>
    </row>
    <row r="14" spans="2:14" x14ac:dyDescent="0.25">
      <c r="B14" s="174">
        <v>0</v>
      </c>
      <c r="C14" s="182">
        <v>-1026</v>
      </c>
      <c r="D14" s="183"/>
      <c r="F14" s="168" t="s">
        <v>18</v>
      </c>
      <c r="G14" s="184">
        <v>1026</v>
      </c>
      <c r="I14" s="168" t="s">
        <v>111</v>
      </c>
      <c r="J14" s="185">
        <f>-PV(J15,10000,52)*(1+J15)^(1/2)</f>
        <v>1026.0000751501634</v>
      </c>
      <c r="L14" s="174" t="s">
        <v>4</v>
      </c>
      <c r="M14" s="175">
        <v>52</v>
      </c>
    </row>
    <row r="15" spans="2:14" x14ac:dyDescent="0.25">
      <c r="B15" s="174">
        <v>1</v>
      </c>
      <c r="C15" s="182">
        <v>52</v>
      </c>
      <c r="D15" s="186"/>
      <c r="F15" s="174" t="s">
        <v>112</v>
      </c>
      <c r="G15" s="187">
        <f>-PV(G16,1000,52)*(1+G16)^(1/2)</f>
        <v>1026.0032284809397</v>
      </c>
      <c r="I15" s="10" t="s">
        <v>8</v>
      </c>
      <c r="J15" s="188">
        <v>5.1982873880795935E-2</v>
      </c>
      <c r="L15" s="174" t="s">
        <v>18</v>
      </c>
      <c r="M15" s="175">
        <f>+M14/M16*(1+M16)^0.5</f>
        <v>1026</v>
      </c>
    </row>
    <row r="16" spans="2:14" ht="13.8" thickBot="1" x14ac:dyDescent="0.3">
      <c r="B16" s="174">
        <v>2</v>
      </c>
      <c r="C16" s="182">
        <f>IF(MOD(B16,2)=0,0,52)</f>
        <v>0</v>
      </c>
      <c r="D16" s="186"/>
      <c r="F16" s="12" t="s">
        <v>8</v>
      </c>
      <c r="G16" s="189">
        <f>+(1+D514)^2-1</f>
        <v>5.198271006869204E-2</v>
      </c>
      <c r="I16" s="170" t="s">
        <v>113</v>
      </c>
      <c r="J16" s="190">
        <f>+J14-G14</f>
        <v>7.5150163411308313E-5</v>
      </c>
      <c r="L16" s="12" t="s">
        <v>8</v>
      </c>
      <c r="M16" s="189">
        <v>5.1982877784777788E-2</v>
      </c>
      <c r="N16" s="191"/>
    </row>
    <row r="17" spans="2:15" x14ac:dyDescent="0.25">
      <c r="B17" s="174">
        <v>3</v>
      </c>
      <c r="C17" s="182">
        <f t="shared" ref="C17:C80" si="0">IF(MOD(B17,2)=0,0,52)</f>
        <v>52</v>
      </c>
      <c r="D17" s="186"/>
      <c r="M17" s="192"/>
    </row>
    <row r="18" spans="2:15" x14ac:dyDescent="0.25">
      <c r="B18" s="174">
        <v>4</v>
      </c>
      <c r="C18" s="182">
        <f t="shared" si="0"/>
        <v>0</v>
      </c>
      <c r="D18" s="186"/>
    </row>
    <row r="19" spans="2:15" x14ac:dyDescent="0.25">
      <c r="B19" s="174">
        <v>5</v>
      </c>
      <c r="C19" s="182">
        <f t="shared" si="0"/>
        <v>52</v>
      </c>
      <c r="D19" s="186"/>
      <c r="M19" s="193"/>
      <c r="N19" s="193"/>
      <c r="O19" s="194"/>
    </row>
    <row r="20" spans="2:15" x14ac:dyDescent="0.25">
      <c r="B20" s="174">
        <v>6</v>
      </c>
      <c r="C20" s="182">
        <f t="shared" si="0"/>
        <v>0</v>
      </c>
      <c r="D20" s="186"/>
    </row>
    <row r="21" spans="2:15" x14ac:dyDescent="0.25">
      <c r="B21" s="174">
        <v>7</v>
      </c>
      <c r="C21" s="182">
        <f t="shared" si="0"/>
        <v>52</v>
      </c>
      <c r="D21" s="186"/>
    </row>
    <row r="22" spans="2:15" x14ac:dyDescent="0.25">
      <c r="B22" s="174">
        <v>8</v>
      </c>
      <c r="C22" s="182">
        <f t="shared" si="0"/>
        <v>0</v>
      </c>
      <c r="D22" s="186"/>
    </row>
    <row r="23" spans="2:15" x14ac:dyDescent="0.25">
      <c r="B23" s="174">
        <v>9</v>
      </c>
      <c r="C23" s="182">
        <f t="shared" si="0"/>
        <v>52</v>
      </c>
      <c r="D23" s="186"/>
    </row>
    <row r="24" spans="2:15" x14ac:dyDescent="0.25">
      <c r="B24" s="174">
        <v>10</v>
      </c>
      <c r="C24" s="182">
        <f t="shared" si="0"/>
        <v>0</v>
      </c>
      <c r="D24" s="186"/>
    </row>
    <row r="25" spans="2:15" x14ac:dyDescent="0.25">
      <c r="B25" s="174">
        <v>11</v>
      </c>
      <c r="C25" s="182">
        <f t="shared" si="0"/>
        <v>52</v>
      </c>
      <c r="D25" s="186"/>
    </row>
    <row r="26" spans="2:15" x14ac:dyDescent="0.25">
      <c r="B26" s="174">
        <v>12</v>
      </c>
      <c r="C26" s="182">
        <f t="shared" si="0"/>
        <v>0</v>
      </c>
      <c r="D26" s="186"/>
    </row>
    <row r="27" spans="2:15" x14ac:dyDescent="0.25">
      <c r="B27" s="174">
        <v>13</v>
      </c>
      <c r="C27" s="182">
        <f t="shared" si="0"/>
        <v>52</v>
      </c>
      <c r="D27" s="186"/>
    </row>
    <row r="28" spans="2:15" x14ac:dyDescent="0.25">
      <c r="B28" s="174">
        <v>14</v>
      </c>
      <c r="C28" s="182">
        <f t="shared" si="0"/>
        <v>0</v>
      </c>
      <c r="D28" s="186"/>
    </row>
    <row r="29" spans="2:15" x14ac:dyDescent="0.25">
      <c r="B29" s="174">
        <v>15</v>
      </c>
      <c r="C29" s="182">
        <f t="shared" si="0"/>
        <v>52</v>
      </c>
      <c r="D29" s="186"/>
    </row>
    <row r="30" spans="2:15" x14ac:dyDescent="0.25">
      <c r="B30" s="174">
        <v>16</v>
      </c>
      <c r="C30" s="182">
        <f t="shared" si="0"/>
        <v>0</v>
      </c>
      <c r="D30" s="186"/>
    </row>
    <row r="31" spans="2:15" x14ac:dyDescent="0.25">
      <c r="B31" s="174">
        <v>17</v>
      </c>
      <c r="C31" s="182">
        <f t="shared" si="0"/>
        <v>52</v>
      </c>
      <c r="D31" s="195">
        <f>IRR($C$14:C31)</f>
        <v>-7.5299407482635861E-2</v>
      </c>
    </row>
    <row r="32" spans="2:15" x14ac:dyDescent="0.25">
      <c r="B32" s="174">
        <v>18</v>
      </c>
      <c r="C32" s="182">
        <f t="shared" si="0"/>
        <v>0</v>
      </c>
      <c r="D32" s="195">
        <f>IRR($C$14:C32,D31)</f>
        <v>-7.5299407488388814E-2</v>
      </c>
    </row>
    <row r="33" spans="2:4" x14ac:dyDescent="0.25">
      <c r="B33" s="174">
        <v>19</v>
      </c>
      <c r="C33" s="182">
        <f t="shared" si="0"/>
        <v>52</v>
      </c>
      <c r="D33" s="195">
        <f>IRR($C$14:C33,D32)</f>
        <v>-5.9879551395911612E-2</v>
      </c>
    </row>
    <row r="34" spans="2:4" x14ac:dyDescent="0.25">
      <c r="B34" s="174">
        <v>20</v>
      </c>
      <c r="C34" s="182">
        <f t="shared" si="0"/>
        <v>0</v>
      </c>
      <c r="D34" s="195">
        <f>IRR($C$14:C34,D33)</f>
        <v>-5.987955139584844E-2</v>
      </c>
    </row>
    <row r="35" spans="2:4" x14ac:dyDescent="0.25">
      <c r="B35" s="174">
        <v>21</v>
      </c>
      <c r="C35" s="182">
        <f t="shared" si="0"/>
        <v>52</v>
      </c>
      <c r="D35" s="195">
        <f>IRR($C$14:C35,D34)</f>
        <v>-4.7651143341978286E-2</v>
      </c>
    </row>
    <row r="36" spans="2:4" x14ac:dyDescent="0.25">
      <c r="B36" s="174">
        <v>22</v>
      </c>
      <c r="C36" s="182">
        <f t="shared" si="0"/>
        <v>0</v>
      </c>
      <c r="D36" s="195">
        <f>IRR($C$14:C36,D35)</f>
        <v>-4.7651143341968738E-2</v>
      </c>
    </row>
    <row r="37" spans="2:4" x14ac:dyDescent="0.25">
      <c r="B37" s="174">
        <v>23</v>
      </c>
      <c r="C37" s="182">
        <f t="shared" si="0"/>
        <v>52</v>
      </c>
      <c r="D37" s="195">
        <f>IRR($C$14:C37,D36)</f>
        <v>-3.7781911101109622E-2</v>
      </c>
    </row>
    <row r="38" spans="2:4" x14ac:dyDescent="0.25">
      <c r="B38" s="174">
        <v>24</v>
      </c>
      <c r="C38" s="182">
        <f t="shared" si="0"/>
        <v>0</v>
      </c>
      <c r="D38" s="195">
        <f>IRR($C$14:C38,D37)</f>
        <v>-3.7781911101107846E-2</v>
      </c>
    </row>
    <row r="39" spans="2:4" x14ac:dyDescent="0.25">
      <c r="B39" s="174">
        <v>25</v>
      </c>
      <c r="C39" s="182">
        <f t="shared" si="0"/>
        <v>52</v>
      </c>
      <c r="D39" s="195">
        <f>IRR($C$14:C39,D38)</f>
        <v>-2.9697189411099667E-2</v>
      </c>
    </row>
    <row r="40" spans="2:4" x14ac:dyDescent="0.25">
      <c r="B40" s="174">
        <v>26</v>
      </c>
      <c r="C40" s="182">
        <f t="shared" si="0"/>
        <v>0</v>
      </c>
      <c r="D40" s="195">
        <f>IRR($C$14:C40,D39)</f>
        <v>-2.9697189411099445E-2</v>
      </c>
    </row>
    <row r="41" spans="2:4" x14ac:dyDescent="0.25">
      <c r="B41" s="174">
        <v>27</v>
      </c>
      <c r="C41" s="182">
        <f t="shared" si="0"/>
        <v>52</v>
      </c>
      <c r="D41" s="195">
        <f>IRR($C$14:C41,D40)</f>
        <v>-2.2989090194206807E-2</v>
      </c>
    </row>
    <row r="42" spans="2:4" x14ac:dyDescent="0.25">
      <c r="B42" s="174">
        <v>28</v>
      </c>
      <c r="C42" s="182">
        <f t="shared" si="0"/>
        <v>0</v>
      </c>
      <c r="D42" s="195">
        <f>IRR($C$14:C42,D41)</f>
        <v>-2.2989090194206807E-2</v>
      </c>
    </row>
    <row r="43" spans="2:4" x14ac:dyDescent="0.25">
      <c r="B43" s="174">
        <v>29</v>
      </c>
      <c r="C43" s="182">
        <f t="shared" si="0"/>
        <v>52</v>
      </c>
      <c r="D43" s="195">
        <f>IRR($C$14:C43,D42)</f>
        <v>-1.7361148781395275E-2</v>
      </c>
    </row>
    <row r="44" spans="2:4" x14ac:dyDescent="0.25">
      <c r="B44" s="174">
        <v>30</v>
      </c>
      <c r="C44" s="182">
        <f t="shared" si="0"/>
        <v>0</v>
      </c>
      <c r="D44" s="195">
        <f>IRR($C$14:C44,D43)</f>
        <v>-1.7361148781395053E-2</v>
      </c>
    </row>
    <row r="45" spans="2:4" x14ac:dyDescent="0.25">
      <c r="B45" s="174">
        <v>31</v>
      </c>
      <c r="C45" s="182">
        <f t="shared" si="0"/>
        <v>52</v>
      </c>
      <c r="D45" s="195">
        <f>IRR($C$14:C45,D44)</f>
        <v>-1.2593396671000234E-2</v>
      </c>
    </row>
    <row r="46" spans="2:4" x14ac:dyDescent="0.25">
      <c r="B46" s="174">
        <v>32</v>
      </c>
      <c r="C46" s="182">
        <f t="shared" si="0"/>
        <v>0</v>
      </c>
      <c r="D46" s="195">
        <f>IRR($C$14:C46,D45)</f>
        <v>-1.2593396671000012E-2</v>
      </c>
    </row>
    <row r="47" spans="2:4" x14ac:dyDescent="0.25">
      <c r="B47" s="174">
        <v>33</v>
      </c>
      <c r="C47" s="182">
        <f t="shared" si="0"/>
        <v>52</v>
      </c>
      <c r="D47" s="195">
        <f>IRR($C$14:C47,D46)</f>
        <v>-8.5196462517335148E-3</v>
      </c>
    </row>
    <row r="48" spans="2:4" x14ac:dyDescent="0.25">
      <c r="B48" s="174">
        <v>34</v>
      </c>
      <c r="C48" s="182">
        <f t="shared" si="0"/>
        <v>0</v>
      </c>
      <c r="D48" s="195">
        <f>IRR($C$14:C48,D47)</f>
        <v>-8.5196462472599821E-3</v>
      </c>
    </row>
    <row r="49" spans="2:4" x14ac:dyDescent="0.25">
      <c r="B49" s="174">
        <v>35</v>
      </c>
      <c r="C49" s="182">
        <f t="shared" si="0"/>
        <v>52</v>
      </c>
      <c r="D49" s="195">
        <f>IRR($C$14:C49,D48)</f>
        <v>-5.012320442890239E-3</v>
      </c>
    </row>
    <row r="50" spans="2:4" x14ac:dyDescent="0.25">
      <c r="B50" s="174">
        <v>36</v>
      </c>
      <c r="C50" s="182">
        <f t="shared" si="0"/>
        <v>0</v>
      </c>
      <c r="D50" s="195">
        <f>IRR($C$14:C50,D49)</f>
        <v>-5.0123204406659072E-3</v>
      </c>
    </row>
    <row r="51" spans="2:4" x14ac:dyDescent="0.25">
      <c r="B51" s="174">
        <v>37</v>
      </c>
      <c r="C51" s="182">
        <f t="shared" si="0"/>
        <v>52</v>
      </c>
      <c r="D51" s="195">
        <f>IRR($C$14:C51,D50)</f>
        <v>-1.9720808780601118E-3</v>
      </c>
    </row>
    <row r="52" spans="2:4" x14ac:dyDescent="0.25">
      <c r="B52" s="174">
        <v>38</v>
      </c>
      <c r="C52" s="182">
        <f t="shared" si="0"/>
        <v>0</v>
      </c>
      <c r="D52" s="195">
        <f>IRR($C$14:C52,D51)</f>
        <v>-1.9720808769020381E-3</v>
      </c>
    </row>
    <row r="53" spans="2:4" x14ac:dyDescent="0.25">
      <c r="B53" s="174">
        <v>39</v>
      </c>
      <c r="C53" s="182">
        <f t="shared" si="0"/>
        <v>52</v>
      </c>
      <c r="D53" s="195">
        <f>IRR($C$14:C53,D52)</f>
        <v>6.7941279018879364E-4</v>
      </c>
    </row>
    <row r="54" spans="2:4" x14ac:dyDescent="0.25">
      <c r="B54" s="174">
        <v>40</v>
      </c>
      <c r="C54" s="182">
        <f t="shared" si="0"/>
        <v>0</v>
      </c>
      <c r="D54" s="195">
        <f>IRR($C$14:C54,D53)</f>
        <v>6.7941279081740191E-4</v>
      </c>
    </row>
    <row r="55" spans="2:4" x14ac:dyDescent="0.25">
      <c r="B55" s="174">
        <v>41</v>
      </c>
      <c r="C55" s="182">
        <f t="shared" si="0"/>
        <v>52</v>
      </c>
      <c r="D55" s="195">
        <f>IRR($C$14:C55,D54)</f>
        <v>3.0046529567016034E-3</v>
      </c>
    </row>
    <row r="56" spans="2:4" x14ac:dyDescent="0.25">
      <c r="B56" s="174">
        <v>42</v>
      </c>
      <c r="C56" s="182">
        <f t="shared" si="0"/>
        <v>0</v>
      </c>
      <c r="D56" s="195">
        <f>IRR($C$14:C56,D55)</f>
        <v>3.0046529570564307E-3</v>
      </c>
    </row>
    <row r="57" spans="2:4" x14ac:dyDescent="0.25">
      <c r="B57" s="174">
        <v>43</v>
      </c>
      <c r="C57" s="182">
        <f t="shared" si="0"/>
        <v>52</v>
      </c>
      <c r="D57" s="195">
        <f>IRR($C$14:C57,D56)</f>
        <v>5.0540092897208844E-3</v>
      </c>
    </row>
    <row r="58" spans="2:4" x14ac:dyDescent="0.25">
      <c r="B58" s="174">
        <v>44</v>
      </c>
      <c r="C58" s="182">
        <f t="shared" si="0"/>
        <v>0</v>
      </c>
      <c r="D58" s="195">
        <f>IRR($C$14:C58,D57)</f>
        <v>5.054009289928052E-3</v>
      </c>
    </row>
    <row r="59" spans="2:4" x14ac:dyDescent="0.25">
      <c r="B59" s="174">
        <v>45</v>
      </c>
      <c r="C59" s="182">
        <f t="shared" si="0"/>
        <v>52</v>
      </c>
      <c r="D59" s="195">
        <f>IRR($C$14:C59,D58)</f>
        <v>6.868464637854288E-3</v>
      </c>
    </row>
    <row r="60" spans="2:4" x14ac:dyDescent="0.25">
      <c r="B60" s="174">
        <v>46</v>
      </c>
      <c r="C60" s="182">
        <f t="shared" si="0"/>
        <v>0</v>
      </c>
      <c r="D60" s="195">
        <f>IRR($C$14:C60,D59)</f>
        <v>6.8684646379795211E-3</v>
      </c>
    </row>
    <row r="61" spans="2:4" x14ac:dyDescent="0.25">
      <c r="B61" s="174">
        <v>47</v>
      </c>
      <c r="C61" s="182">
        <f t="shared" si="0"/>
        <v>52</v>
      </c>
      <c r="D61" s="195">
        <f>IRR($C$14:C61,D60)</f>
        <v>8.4816523500734764E-3</v>
      </c>
    </row>
    <row r="62" spans="2:4" x14ac:dyDescent="0.25">
      <c r="B62" s="174">
        <v>48</v>
      </c>
      <c r="C62" s="182">
        <f t="shared" si="0"/>
        <v>0</v>
      </c>
      <c r="D62" s="195">
        <f>IRR($C$14:C62,D61)</f>
        <v>8.4816523501516361E-3</v>
      </c>
    </row>
    <row r="63" spans="2:4" x14ac:dyDescent="0.25">
      <c r="B63" s="174">
        <v>49</v>
      </c>
      <c r="C63" s="182">
        <f t="shared" si="0"/>
        <v>52</v>
      </c>
      <c r="D63" s="195">
        <f>IRR($C$14:C63,D62)</f>
        <v>9.9213926736902991E-3</v>
      </c>
    </row>
    <row r="64" spans="2:4" x14ac:dyDescent="0.25">
      <c r="B64" s="174">
        <v>50</v>
      </c>
      <c r="C64" s="182">
        <f t="shared" si="0"/>
        <v>0</v>
      </c>
      <c r="D64" s="195">
        <f>IRR($C$14:C64,D63)</f>
        <v>9.9213926737400371E-3</v>
      </c>
    </row>
    <row r="65" spans="2:4" x14ac:dyDescent="0.25">
      <c r="B65" s="174">
        <v>51</v>
      </c>
      <c r="C65" s="182">
        <f t="shared" si="0"/>
        <v>52</v>
      </c>
      <c r="D65" s="195">
        <f>IRR($C$14:C65,D64)</f>
        <v>1.1210864887956973E-2</v>
      </c>
    </row>
    <row r="66" spans="2:4" x14ac:dyDescent="0.25">
      <c r="B66" s="174">
        <v>52</v>
      </c>
      <c r="C66" s="182">
        <f t="shared" si="0"/>
        <v>0</v>
      </c>
      <c r="D66" s="195">
        <f>IRR($C$14:C66,D65)</f>
        <v>1.1210864887989613E-2</v>
      </c>
    </row>
    <row r="67" spans="2:4" x14ac:dyDescent="0.25">
      <c r="B67" s="174">
        <v>53</v>
      </c>
      <c r="C67" s="182">
        <f t="shared" si="0"/>
        <v>52</v>
      </c>
      <c r="D67" s="195">
        <f>IRR($C$14:C67,D66)</f>
        <v>1.2369511112704901E-2</v>
      </c>
    </row>
    <row r="68" spans="2:4" x14ac:dyDescent="0.25">
      <c r="B68" s="174">
        <v>54</v>
      </c>
      <c r="C68" s="182">
        <f t="shared" si="0"/>
        <v>0</v>
      </c>
      <c r="D68" s="195">
        <f>IRR($C$14:C68,D67)</f>
        <v>1.2369511112726883E-2</v>
      </c>
    </row>
    <row r="69" spans="2:4" x14ac:dyDescent="0.25">
      <c r="B69" s="174">
        <v>55</v>
      </c>
      <c r="C69" s="182">
        <f t="shared" si="0"/>
        <v>52</v>
      </c>
      <c r="D69" s="195">
        <f>IRR($C$14:C69,D68)</f>
        <v>1.3413740101890559E-2</v>
      </c>
    </row>
    <row r="70" spans="2:4" x14ac:dyDescent="0.25">
      <c r="B70" s="174">
        <v>56</v>
      </c>
      <c r="C70" s="182">
        <f t="shared" si="0"/>
        <v>0</v>
      </c>
      <c r="D70" s="195">
        <f>IRR($C$14:C70,D69)</f>
        <v>1.3413740101905658E-2</v>
      </c>
    </row>
    <row r="71" spans="2:4" x14ac:dyDescent="0.25">
      <c r="B71" s="174">
        <v>57</v>
      </c>
      <c r="C71" s="182">
        <f t="shared" si="0"/>
        <v>52</v>
      </c>
      <c r="D71" s="195">
        <f>IRR($C$14:C71,D70)</f>
        <v>1.4357480296244951E-2</v>
      </c>
    </row>
    <row r="72" spans="2:4" x14ac:dyDescent="0.25">
      <c r="B72" s="174">
        <v>58</v>
      </c>
      <c r="C72" s="182">
        <f t="shared" si="0"/>
        <v>0</v>
      </c>
      <c r="D72" s="195">
        <f>IRR($C$14:C72,D71)</f>
        <v>1.4357480296255387E-2</v>
      </c>
    </row>
    <row r="73" spans="2:4" x14ac:dyDescent="0.25">
      <c r="B73" s="174">
        <v>59</v>
      </c>
      <c r="C73" s="182">
        <f t="shared" si="0"/>
        <v>52</v>
      </c>
      <c r="D73" s="195">
        <f>IRR($C$14:C73,D72)</f>
        <v>1.521261810864516E-2</v>
      </c>
    </row>
    <row r="74" spans="2:4" x14ac:dyDescent="0.25">
      <c r="B74" s="174">
        <v>60</v>
      </c>
      <c r="C74" s="182">
        <f t="shared" si="0"/>
        <v>0</v>
      </c>
      <c r="D74" s="195">
        <f>IRR($C$14:C74,D73)</f>
        <v>1.5212618108652709E-2</v>
      </c>
    </row>
    <row r="75" spans="2:4" x14ac:dyDescent="0.25">
      <c r="B75" s="174">
        <v>61</v>
      </c>
      <c r="C75" s="182">
        <f t="shared" si="0"/>
        <v>52</v>
      </c>
      <c r="D75" s="195">
        <f>IRR($C$14:C75,D74)</f>
        <v>1.5989348000606807E-2</v>
      </c>
    </row>
    <row r="76" spans="2:4" x14ac:dyDescent="0.25">
      <c r="B76" s="174">
        <v>62</v>
      </c>
      <c r="C76" s="182">
        <f t="shared" si="0"/>
        <v>0</v>
      </c>
      <c r="D76" s="195">
        <f>IRR($C$14:C76,D75)</f>
        <v>1.5989348000612136E-2</v>
      </c>
    </row>
    <row r="77" spans="2:4" x14ac:dyDescent="0.25">
      <c r="B77" s="174">
        <v>63</v>
      </c>
      <c r="C77" s="182">
        <f t="shared" si="0"/>
        <v>52</v>
      </c>
      <c r="D77" s="195">
        <f>IRR($C$14:C77,D76)</f>
        <v>1.669645416222254E-2</v>
      </c>
    </row>
    <row r="78" spans="2:4" x14ac:dyDescent="0.25">
      <c r="B78" s="174">
        <v>64</v>
      </c>
      <c r="C78" s="182">
        <f t="shared" si="0"/>
        <v>0</v>
      </c>
      <c r="D78" s="195">
        <f>IRR($C$14:C78,D77)</f>
        <v>1.6696454162226537E-2</v>
      </c>
    </row>
    <row r="79" spans="2:4" x14ac:dyDescent="0.25">
      <c r="B79" s="174">
        <v>65</v>
      </c>
      <c r="C79" s="182">
        <f t="shared" si="0"/>
        <v>52</v>
      </c>
      <c r="D79" s="195">
        <f>IRR($C$14:C79,D78)</f>
        <v>1.734153871946531E-2</v>
      </c>
    </row>
    <row r="80" spans="2:4" x14ac:dyDescent="0.25">
      <c r="B80" s="174">
        <v>66</v>
      </c>
      <c r="C80" s="182">
        <f t="shared" si="0"/>
        <v>0</v>
      </c>
      <c r="D80" s="195">
        <f>IRR($C$14:C80,D79)</f>
        <v>1.7341538719468419E-2</v>
      </c>
    </row>
    <row r="81" spans="2:4" x14ac:dyDescent="0.25">
      <c r="B81" s="174">
        <v>67</v>
      </c>
      <c r="C81" s="182">
        <f t="shared" ref="C81:C144" si="1">IF(MOD(B81,2)=0,0,52)</f>
        <v>52</v>
      </c>
      <c r="D81" s="195">
        <f>IRR($C$14:C81,D80)</f>
        <v>1.7931207812944328E-2</v>
      </c>
    </row>
    <row r="82" spans="2:4" x14ac:dyDescent="0.25">
      <c r="B82" s="174">
        <v>68</v>
      </c>
      <c r="C82" s="182">
        <f t="shared" si="1"/>
        <v>0</v>
      </c>
      <c r="D82" s="195">
        <f>IRR($C$14:C82,D81)</f>
        <v>1.7931207812946326E-2</v>
      </c>
    </row>
    <row r="83" spans="2:4" x14ac:dyDescent="0.25">
      <c r="B83" s="174">
        <v>69</v>
      </c>
      <c r="C83" s="182">
        <f t="shared" si="1"/>
        <v>52</v>
      </c>
      <c r="D83" s="195">
        <f>IRR($C$14:C83,D82)</f>
        <v>1.8471224244691609E-2</v>
      </c>
    </row>
    <row r="84" spans="2:4" x14ac:dyDescent="0.25">
      <c r="B84" s="174">
        <v>70</v>
      </c>
      <c r="C84" s="182">
        <f t="shared" si="1"/>
        <v>0</v>
      </c>
      <c r="D84" s="195">
        <f>IRR($C$14:C84,D83)</f>
        <v>1.8471224244693385E-2</v>
      </c>
    </row>
    <row r="85" spans="2:4" x14ac:dyDescent="0.25">
      <c r="B85" s="174">
        <v>71</v>
      </c>
      <c r="C85" s="182">
        <f t="shared" si="1"/>
        <v>52</v>
      </c>
      <c r="D85" s="195">
        <f>IRR($C$14:C85,D84)</f>
        <v>1.8966633413380896E-2</v>
      </c>
    </row>
    <row r="86" spans="2:4" x14ac:dyDescent="0.25">
      <c r="B86" s="174">
        <v>72</v>
      </c>
      <c r="C86" s="182">
        <f t="shared" si="1"/>
        <v>0</v>
      </c>
      <c r="D86" s="195">
        <f>IRR($C$14:C86,D85)</f>
        <v>1.8966633413382228E-2</v>
      </c>
    </row>
    <row r="87" spans="2:4" x14ac:dyDescent="0.25">
      <c r="B87" s="174">
        <v>73</v>
      </c>
      <c r="C87" s="182">
        <f t="shared" si="1"/>
        <v>52</v>
      </c>
      <c r="D87" s="195">
        <f>IRR($C$14:C87,D86)</f>
        <v>1.9421867770384349E-2</v>
      </c>
    </row>
    <row r="88" spans="2:4" x14ac:dyDescent="0.25">
      <c r="B88" s="174">
        <v>74</v>
      </c>
      <c r="C88" s="182">
        <f t="shared" si="1"/>
        <v>0</v>
      </c>
      <c r="D88" s="195">
        <f>IRR($C$14:C88,D87)</f>
        <v>1.9421867770385459E-2</v>
      </c>
    </row>
    <row r="89" spans="2:4" x14ac:dyDescent="0.25">
      <c r="B89" s="174">
        <v>75</v>
      </c>
      <c r="C89" s="182">
        <f t="shared" si="1"/>
        <v>52</v>
      </c>
      <c r="D89" s="195">
        <f>IRR($C$14:C89,D88)</f>
        <v>1.9840833899513965E-2</v>
      </c>
    </row>
    <row r="90" spans="2:4" x14ac:dyDescent="0.25">
      <c r="B90" s="174">
        <v>76</v>
      </c>
      <c r="C90" s="182">
        <f t="shared" si="1"/>
        <v>0</v>
      </c>
      <c r="D90" s="195">
        <f>IRR($C$14:C90,D89)</f>
        <v>1.9840833899514632E-2</v>
      </c>
    </row>
    <row r="91" spans="2:4" x14ac:dyDescent="0.25">
      <c r="B91" s="174">
        <v>77</v>
      </c>
      <c r="C91" s="182">
        <f t="shared" si="1"/>
        <v>52</v>
      </c>
      <c r="D91" s="195">
        <f>IRR($C$14:C91,D90)</f>
        <v>2.0226985459127933E-2</v>
      </c>
    </row>
    <row r="92" spans="2:4" x14ac:dyDescent="0.25">
      <c r="B92" s="174">
        <v>78</v>
      </c>
      <c r="C92" s="182">
        <f t="shared" si="1"/>
        <v>0</v>
      </c>
      <c r="D92" s="195">
        <f>IRR($C$14:C92,D91)</f>
        <v>2.0226985459128821E-2</v>
      </c>
    </row>
    <row r="93" spans="2:4" x14ac:dyDescent="0.25">
      <c r="B93" s="174">
        <v>79</v>
      </c>
      <c r="C93" s="182">
        <f t="shared" si="1"/>
        <v>52</v>
      </c>
      <c r="D93" s="195">
        <f>IRR($C$14:C93,D92)</f>
        <v>2.058338455936215E-2</v>
      </c>
    </row>
    <row r="94" spans="2:4" x14ac:dyDescent="0.25">
      <c r="B94" s="174">
        <v>80</v>
      </c>
      <c r="C94" s="182">
        <f t="shared" si="1"/>
        <v>0</v>
      </c>
      <c r="D94" s="195">
        <f>IRR($C$14:C94,D93)</f>
        <v>2.0583384559362816E-2</v>
      </c>
    </row>
    <row r="95" spans="2:4" x14ac:dyDescent="0.25">
      <c r="B95" s="174">
        <v>81</v>
      </c>
      <c r="C95" s="182">
        <f t="shared" si="1"/>
        <v>52</v>
      </c>
      <c r="D95" s="195">
        <f>IRR($C$14:C95,D94)</f>
        <v>2.0912753630492942E-2</v>
      </c>
    </row>
    <row r="96" spans="2:4" x14ac:dyDescent="0.25">
      <c r="B96" s="174">
        <v>82</v>
      </c>
      <c r="C96" s="182">
        <f t="shared" si="1"/>
        <v>0</v>
      </c>
      <c r="D96" s="195">
        <f>IRR($C$14:C96,D95)</f>
        <v>2.0912753630493386E-2</v>
      </c>
    </row>
    <row r="97" spans="2:4" x14ac:dyDescent="0.25">
      <c r="B97" s="174">
        <v>83</v>
      </c>
      <c r="C97" s="182">
        <f t="shared" si="1"/>
        <v>52</v>
      </c>
      <c r="D97" s="195">
        <f>IRR($C$14:C97,D96)</f>
        <v>2.1217519434862497E-2</v>
      </c>
    </row>
    <row r="98" spans="2:4" x14ac:dyDescent="0.25">
      <c r="B98" s="174">
        <v>84</v>
      </c>
      <c r="C98" s="182">
        <f t="shared" si="1"/>
        <v>0</v>
      </c>
      <c r="D98" s="195">
        <f>IRR($C$14:C98,D97)</f>
        <v>2.1217519434862719E-2</v>
      </c>
    </row>
    <row r="99" spans="2:4" x14ac:dyDescent="0.25">
      <c r="B99" s="174">
        <v>85</v>
      </c>
      <c r="C99" s="182">
        <f t="shared" si="1"/>
        <v>52</v>
      </c>
      <c r="D99" s="195">
        <f>IRR($C$14:C99,D98)</f>
        <v>2.1499850557587408E-2</v>
      </c>
    </row>
    <row r="100" spans="2:4" x14ac:dyDescent="0.25">
      <c r="B100" s="174">
        <v>86</v>
      </c>
      <c r="C100" s="182">
        <f t="shared" si="1"/>
        <v>0</v>
      </c>
      <c r="D100" s="195">
        <f>IRR($C$14:C100,D99)</f>
        <v>2.149985055758763E-2</v>
      </c>
    </row>
    <row r="101" spans="2:4" x14ac:dyDescent="0.25">
      <c r="B101" s="174">
        <v>87</v>
      </c>
      <c r="C101" s="182">
        <f t="shared" si="1"/>
        <v>52</v>
      </c>
      <c r="D101" s="195">
        <f>IRR($C$14:C101,D100)</f>
        <v>2.1761689460522815E-2</v>
      </c>
    </row>
    <row r="102" spans="2:4" x14ac:dyDescent="0.25">
      <c r="B102" s="174">
        <v>88</v>
      </c>
      <c r="C102" s="182">
        <f t="shared" si="1"/>
        <v>0</v>
      </c>
      <c r="D102" s="195">
        <f>IRR($C$14:C102,D101)</f>
        <v>2.1761689460523037E-2</v>
      </c>
    </row>
    <row r="103" spans="2:4" x14ac:dyDescent="0.25">
      <c r="B103" s="174">
        <v>89</v>
      </c>
      <c r="C103" s="182">
        <f t="shared" si="1"/>
        <v>52</v>
      </c>
      <c r="D103" s="195">
        <f>IRR($C$14:C103,D102)</f>
        <v>2.2004779984594602E-2</v>
      </c>
    </row>
    <row r="104" spans="2:4" x14ac:dyDescent="0.25">
      <c r="B104" s="174">
        <v>90</v>
      </c>
      <c r="C104" s="182">
        <f t="shared" si="1"/>
        <v>0</v>
      </c>
      <c r="D104" s="195">
        <f>IRR($C$14:C104,D103)</f>
        <v>2.2004779984594824E-2</v>
      </c>
    </row>
    <row r="105" spans="2:4" x14ac:dyDescent="0.25">
      <c r="B105" s="174">
        <v>91</v>
      </c>
      <c r="C105" s="182">
        <f t="shared" si="1"/>
        <v>52</v>
      </c>
      <c r="D105" s="195">
        <f>IRR($C$14:C105,D104)</f>
        <v>2.2230691026270177E-2</v>
      </c>
    </row>
    <row r="106" spans="2:4" x14ac:dyDescent="0.25">
      <c r="B106" s="174">
        <v>92</v>
      </c>
      <c r="C106" s="182">
        <f t="shared" si="1"/>
        <v>0</v>
      </c>
      <c r="D106" s="195">
        <f>IRR($C$14:C106,D105)</f>
        <v>2.2230691026270177E-2</v>
      </c>
    </row>
    <row r="107" spans="2:4" x14ac:dyDescent="0.25">
      <c r="B107" s="174">
        <v>93</v>
      </c>
      <c r="C107" s="182">
        <f t="shared" si="1"/>
        <v>52</v>
      </c>
      <c r="D107" s="195">
        <f>IRR($C$14:C107,D106)</f>
        <v>2.2440836985934798E-2</v>
      </c>
    </row>
    <row r="108" spans="2:4" x14ac:dyDescent="0.25">
      <c r="B108" s="174">
        <v>94</v>
      </c>
      <c r="C108" s="182">
        <f t="shared" si="1"/>
        <v>0</v>
      </c>
      <c r="D108" s="195">
        <f>IRR($C$14:C108,D107)</f>
        <v>2.244083698593502E-2</v>
      </c>
    </row>
    <row r="109" spans="2:4" x14ac:dyDescent="0.25">
      <c r="B109" s="174">
        <v>95</v>
      </c>
      <c r="C109" s="182">
        <f t="shared" si="1"/>
        <v>52</v>
      </c>
      <c r="D109" s="195">
        <f>IRR($C$14:C109,D108)</f>
        <v>2.2636495482601271E-2</v>
      </c>
    </row>
    <row r="110" spans="2:4" x14ac:dyDescent="0.25">
      <c r="B110" s="174">
        <v>96</v>
      </c>
      <c r="C110" s="182">
        <f t="shared" si="1"/>
        <v>0</v>
      </c>
      <c r="D110" s="195">
        <f>IRR($C$14:C110,D109)</f>
        <v>2.2636495482601493E-2</v>
      </c>
    </row>
    <row r="111" spans="2:4" x14ac:dyDescent="0.25">
      <c r="B111" s="174">
        <v>97</v>
      </c>
      <c r="C111" s="182">
        <f t="shared" si="1"/>
        <v>52</v>
      </c>
      <c r="D111" s="195">
        <f>IRR($C$14:C111,D110)</f>
        <v>2.2818822745568568E-2</v>
      </c>
    </row>
    <row r="112" spans="2:4" x14ac:dyDescent="0.25">
      <c r="B112" s="174">
        <v>98</v>
      </c>
      <c r="C112" s="182">
        <f t="shared" si="1"/>
        <v>0</v>
      </c>
      <c r="D112" s="195">
        <f>IRR($C$14:C112,D111)</f>
        <v>2.281882274556879E-2</v>
      </c>
    </row>
    <row r="113" spans="2:4" x14ac:dyDescent="0.25">
      <c r="B113" s="174">
        <v>99</v>
      </c>
      <c r="C113" s="182">
        <f t="shared" si="1"/>
        <v>52</v>
      </c>
      <c r="D113" s="195">
        <f>IRR($C$14:C113,D112)</f>
        <v>2.2988867025368398E-2</v>
      </c>
    </row>
    <row r="114" spans="2:4" x14ac:dyDescent="0.25">
      <c r="B114" s="174">
        <v>100</v>
      </c>
      <c r="C114" s="182">
        <f t="shared" si="1"/>
        <v>0</v>
      </c>
      <c r="D114" s="195">
        <f>IRR($C$14:C114,D113)</f>
        <v>2.298886702536862E-2</v>
      </c>
    </row>
    <row r="115" spans="2:4" x14ac:dyDescent="0.25">
      <c r="B115" s="174">
        <v>101</v>
      </c>
      <c r="C115" s="182">
        <f t="shared" si="1"/>
        <v>52</v>
      </c>
      <c r="D115" s="195">
        <f>IRR($C$14:C115,D114)</f>
        <v>2.3147580310479698E-2</v>
      </c>
    </row>
    <row r="116" spans="2:4" x14ac:dyDescent="0.25">
      <c r="B116" s="174">
        <v>102</v>
      </c>
      <c r="C116" s="182">
        <f t="shared" si="1"/>
        <v>0</v>
      </c>
      <c r="D116" s="195">
        <f>IRR($C$14:C116,D115)</f>
        <v>2.314758031047992E-2</v>
      </c>
    </row>
    <row r="117" spans="2:4" x14ac:dyDescent="0.25">
      <c r="B117" s="174">
        <v>103</v>
      </c>
      <c r="C117" s="182">
        <f t="shared" si="1"/>
        <v>52</v>
      </c>
      <c r="D117" s="195">
        <f>IRR($C$14:C117,D116)</f>
        <v>2.3295828590399248E-2</v>
      </c>
    </row>
    <row r="118" spans="2:4" x14ac:dyDescent="0.25">
      <c r="B118" s="174">
        <v>104</v>
      </c>
      <c r="C118" s="182">
        <f t="shared" si="1"/>
        <v>0</v>
      </c>
      <c r="D118" s="195">
        <f>IRR($C$14:C118,D117)</f>
        <v>2.329582859039947E-2</v>
      </c>
    </row>
    <row r="119" spans="2:4" x14ac:dyDescent="0.25">
      <c r="B119" s="174">
        <v>105</v>
      </c>
      <c r="C119" s="182">
        <f t="shared" si="1"/>
        <v>52</v>
      </c>
      <c r="D119" s="195">
        <f>IRR($C$14:C119,D118)</f>
        <v>2.3434400867808902E-2</v>
      </c>
    </row>
    <row r="120" spans="2:4" x14ac:dyDescent="0.25">
      <c r="B120" s="174">
        <v>106</v>
      </c>
      <c r="C120" s="182">
        <f t="shared" si="1"/>
        <v>0</v>
      </c>
      <c r="D120" s="195">
        <f>IRR($C$14:C120,D119)</f>
        <v>2.3434400867808902E-2</v>
      </c>
    </row>
    <row r="121" spans="2:4" x14ac:dyDescent="0.25">
      <c r="B121" s="174">
        <v>107</v>
      </c>
      <c r="C121" s="182">
        <f t="shared" si="1"/>
        <v>52</v>
      </c>
      <c r="D121" s="195">
        <f>IRR($C$14:C121,D120)</f>
        <v>2.3564017091260103E-2</v>
      </c>
    </row>
    <row r="122" spans="2:4" x14ac:dyDescent="0.25">
      <c r="B122" s="174">
        <v>108</v>
      </c>
      <c r="C122" s="182">
        <f t="shared" si="1"/>
        <v>0</v>
      </c>
      <c r="D122" s="195">
        <f>IRR($C$14:C122,D121)</f>
        <v>2.3564017091260103E-2</v>
      </c>
    </row>
    <row r="123" spans="2:4" x14ac:dyDescent="0.25">
      <c r="B123" s="174">
        <v>109</v>
      </c>
      <c r="C123" s="182">
        <f t="shared" si="1"/>
        <v>52</v>
      </c>
      <c r="D123" s="195">
        <f>IRR($C$14:C123,D122)</f>
        <v>2.3685335153752929E-2</v>
      </c>
    </row>
    <row r="124" spans="2:4" x14ac:dyDescent="0.25">
      <c r="B124" s="174">
        <v>110</v>
      </c>
      <c r="C124" s="182">
        <f t="shared" si="1"/>
        <v>0</v>
      </c>
      <c r="D124" s="195">
        <f>IRR($C$14:C124,D123)</f>
        <v>2.3685335153752707E-2</v>
      </c>
    </row>
    <row r="125" spans="2:4" x14ac:dyDescent="0.25">
      <c r="B125" s="174">
        <v>111</v>
      </c>
      <c r="C125" s="182">
        <f t="shared" si="1"/>
        <v>52</v>
      </c>
      <c r="D125" s="195">
        <f>IRR($C$14:C125,D124)</f>
        <v>2.3798957080897853E-2</v>
      </c>
    </row>
    <row r="126" spans="2:4" x14ac:dyDescent="0.25">
      <c r="B126" s="174">
        <v>112</v>
      </c>
      <c r="C126" s="182">
        <f t="shared" si="1"/>
        <v>0</v>
      </c>
      <c r="D126" s="195">
        <f>IRR($C$14:C126,D125)</f>
        <v>2.3798957080898075E-2</v>
      </c>
    </row>
    <row r="127" spans="2:4" x14ac:dyDescent="0.25">
      <c r="B127" s="174">
        <v>113</v>
      </c>
      <c r="C127" s="182">
        <f t="shared" si="1"/>
        <v>52</v>
      </c>
      <c r="D127" s="195">
        <f>IRR($C$14:C127,D126)</f>
        <v>2.3905434514188251E-2</v>
      </c>
    </row>
    <row r="128" spans="2:4" x14ac:dyDescent="0.25">
      <c r="B128" s="174">
        <v>114</v>
      </c>
      <c r="C128" s="182">
        <f t="shared" si="1"/>
        <v>0</v>
      </c>
      <c r="D128" s="195">
        <f>IRR($C$14:C128,D127)</f>
        <v>2.3905434514188473E-2</v>
      </c>
    </row>
    <row r="129" spans="2:4" x14ac:dyDescent="0.25">
      <c r="B129" s="174">
        <v>115</v>
      </c>
      <c r="C129" s="182">
        <f t="shared" si="1"/>
        <v>52</v>
      </c>
      <c r="D129" s="195">
        <f>IRR($C$14:C129,D128)</f>
        <v>2.4005273579676523E-2</v>
      </c>
    </row>
    <row r="130" spans="2:4" x14ac:dyDescent="0.25">
      <c r="B130" s="174">
        <v>116</v>
      </c>
      <c r="C130" s="182">
        <f t="shared" si="1"/>
        <v>0</v>
      </c>
      <c r="D130" s="195">
        <f>IRR($C$14:C130,D129)</f>
        <v>2.4005273579676523E-2</v>
      </c>
    </row>
    <row r="131" spans="2:4" x14ac:dyDescent="0.25">
      <c r="B131" s="174">
        <v>117</v>
      </c>
      <c r="C131" s="182">
        <f t="shared" si="1"/>
        <v>52</v>
      </c>
      <c r="D131" s="195">
        <f>IRR($C$14:C131,D130)</f>
        <v>2.409893921952877E-2</v>
      </c>
    </row>
    <row r="132" spans="2:4" x14ac:dyDescent="0.25">
      <c r="B132" s="174">
        <v>118</v>
      </c>
      <c r="C132" s="182">
        <f t="shared" si="1"/>
        <v>0</v>
      </c>
      <c r="D132" s="195">
        <f>IRR($C$14:C132,D131)</f>
        <v>2.409893921952877E-2</v>
      </c>
    </row>
    <row r="133" spans="2:4" x14ac:dyDescent="0.25">
      <c r="B133" s="174">
        <v>119</v>
      </c>
      <c r="C133" s="182">
        <f t="shared" si="1"/>
        <v>52</v>
      </c>
      <c r="D133" s="195">
        <f>IRR($C$14:C133,D132)</f>
        <v>2.4186859053093812E-2</v>
      </c>
    </row>
    <row r="134" spans="2:4" x14ac:dyDescent="0.25">
      <c r="B134" s="174">
        <v>120</v>
      </c>
      <c r="C134" s="182">
        <f t="shared" si="1"/>
        <v>0</v>
      </c>
      <c r="D134" s="195">
        <f>IRR($C$14:C134,D133)</f>
        <v>2.4186859053093812E-2</v>
      </c>
    </row>
    <row r="135" spans="2:4" x14ac:dyDescent="0.25">
      <c r="B135" s="174">
        <v>121</v>
      </c>
      <c r="C135" s="182">
        <f t="shared" si="1"/>
        <v>52</v>
      </c>
      <c r="D135" s="195">
        <f>IRR($C$14:C135,D134)</f>
        <v>2.4269426824962359E-2</v>
      </c>
    </row>
    <row r="136" spans="2:4" x14ac:dyDescent="0.25">
      <c r="B136" s="174">
        <v>122</v>
      </c>
      <c r="C136" s="182">
        <f t="shared" si="1"/>
        <v>0</v>
      </c>
      <c r="D136" s="195">
        <f>IRR($C$14:C136,D135)</f>
        <v>2.4269426824962803E-2</v>
      </c>
    </row>
    <row r="137" spans="2:4" x14ac:dyDescent="0.25">
      <c r="B137" s="174">
        <v>123</v>
      </c>
      <c r="C137" s="182">
        <f t="shared" si="1"/>
        <v>52</v>
      </c>
      <c r="D137" s="195">
        <f>IRR($C$14:C137,D136)</f>
        <v>2.434700548969837E-2</v>
      </c>
    </row>
    <row r="138" spans="2:4" x14ac:dyDescent="0.25">
      <c r="B138" s="174">
        <v>124</v>
      </c>
      <c r="C138" s="182">
        <f t="shared" si="1"/>
        <v>0</v>
      </c>
      <c r="D138" s="195">
        <f>IRR($C$14:C138,D137)</f>
        <v>2.4347005489698592E-2</v>
      </c>
    </row>
    <row r="139" spans="2:4" x14ac:dyDescent="0.25">
      <c r="B139" s="174">
        <v>125</v>
      </c>
      <c r="C139" s="182">
        <f t="shared" si="1"/>
        <v>52</v>
      </c>
      <c r="D139" s="195">
        <f>IRR($C$14:C139,D138)</f>
        <v>2.4419929976296162E-2</v>
      </c>
    </row>
    <row r="140" spans="2:4" x14ac:dyDescent="0.25">
      <c r="B140" s="174">
        <v>126</v>
      </c>
      <c r="C140" s="182">
        <f t="shared" si="1"/>
        <v>0</v>
      </c>
      <c r="D140" s="195">
        <f>IRR($C$14:C140,D139)</f>
        <v>2.4419929976296162E-2</v>
      </c>
    </row>
    <row r="141" spans="2:4" x14ac:dyDescent="0.25">
      <c r="B141" s="174">
        <v>127</v>
      </c>
      <c r="C141" s="182">
        <f t="shared" si="1"/>
        <v>52</v>
      </c>
      <c r="D141" s="195">
        <f>IRR($C$14:C141,D140)</f>
        <v>2.4488509669761349E-2</v>
      </c>
    </row>
    <row r="142" spans="2:4" x14ac:dyDescent="0.25">
      <c r="B142" s="174">
        <v>128</v>
      </c>
      <c r="C142" s="182">
        <f t="shared" si="1"/>
        <v>0</v>
      </c>
      <c r="D142" s="195">
        <f>IRR($C$14:C142,D141)</f>
        <v>2.4488509669761349E-2</v>
      </c>
    </row>
    <row r="143" spans="2:4" x14ac:dyDescent="0.25">
      <c r="B143" s="174">
        <v>129</v>
      </c>
      <c r="C143" s="182">
        <f t="shared" si="1"/>
        <v>52</v>
      </c>
      <c r="D143" s="195">
        <f>IRR($C$14:C143,D142)</f>
        <v>2.4553030642364915E-2</v>
      </c>
    </row>
    <row r="144" spans="2:4" x14ac:dyDescent="0.25">
      <c r="B144" s="174">
        <v>130</v>
      </c>
      <c r="C144" s="182">
        <f t="shared" si="1"/>
        <v>0</v>
      </c>
      <c r="D144" s="195">
        <f>IRR($C$14:C144,D143)</f>
        <v>2.4553030642364693E-2</v>
      </c>
    </row>
    <row r="145" spans="2:4" x14ac:dyDescent="0.25">
      <c r="B145" s="174">
        <v>131</v>
      </c>
      <c r="C145" s="182">
        <f t="shared" ref="C145:C208" si="2">IF(MOD(B145,2)=0,0,52)</f>
        <v>52</v>
      </c>
      <c r="D145" s="195">
        <f>IRR($C$14:C145,D144)</f>
        <v>2.4613757662961477E-2</v>
      </c>
    </row>
    <row r="146" spans="2:4" x14ac:dyDescent="0.25">
      <c r="B146" s="174">
        <v>132</v>
      </c>
      <c r="C146" s="182">
        <f t="shared" si="2"/>
        <v>0</v>
      </c>
      <c r="D146" s="195">
        <f>IRR($C$14:C146,D145)</f>
        <v>2.4613757662961699E-2</v>
      </c>
    </row>
    <row r="147" spans="2:4" x14ac:dyDescent="0.25">
      <c r="B147" s="174">
        <v>133</v>
      </c>
      <c r="C147" s="182">
        <f t="shared" si="2"/>
        <v>52</v>
      </c>
      <c r="D147" s="195">
        <f>IRR($C$14:C147,D146)</f>
        <v>2.4670936009200783E-2</v>
      </c>
    </row>
    <row r="148" spans="2:4" x14ac:dyDescent="0.25">
      <c r="B148" s="174">
        <v>134</v>
      </c>
      <c r="C148" s="182">
        <f t="shared" si="2"/>
        <v>0</v>
      </c>
      <c r="D148" s="195">
        <f>IRR($C$14:C148,D147)</f>
        <v>2.4670936009200783E-2</v>
      </c>
    </row>
    <row r="149" spans="2:4" x14ac:dyDescent="0.25">
      <c r="B149" s="174">
        <v>135</v>
      </c>
      <c r="C149" s="182">
        <f t="shared" si="2"/>
        <v>52</v>
      </c>
      <c r="D149" s="195">
        <f>IRR($C$14:C149,D148)</f>
        <v>2.4724793104361042E-2</v>
      </c>
    </row>
    <row r="150" spans="2:4" x14ac:dyDescent="0.25">
      <c r="B150" s="174">
        <v>136</v>
      </c>
      <c r="C150" s="182">
        <f t="shared" si="2"/>
        <v>0</v>
      </c>
      <c r="D150" s="195">
        <f>IRR($C$14:C150,D149)</f>
        <v>2.4724793104361042E-2</v>
      </c>
    </row>
    <row r="151" spans="2:4" x14ac:dyDescent="0.25">
      <c r="B151" s="174">
        <v>137</v>
      </c>
      <c r="C151" s="182">
        <f t="shared" si="2"/>
        <v>52</v>
      </c>
      <c r="D151" s="195">
        <f>IRR($C$14:C151,D150)</f>
        <v>2.4775539997897944E-2</v>
      </c>
    </row>
    <row r="152" spans="2:4" x14ac:dyDescent="0.25">
      <c r="B152" s="174">
        <v>138</v>
      </c>
      <c r="C152" s="182">
        <f t="shared" si="2"/>
        <v>0</v>
      </c>
      <c r="D152" s="195">
        <f>IRR($C$14:C152,D151)</f>
        <v>2.4775539997897944E-2</v>
      </c>
    </row>
    <row r="153" spans="2:4" x14ac:dyDescent="0.25">
      <c r="B153" s="174">
        <v>139</v>
      </c>
      <c r="C153" s="182">
        <f t="shared" si="2"/>
        <v>52</v>
      </c>
      <c r="D153" s="195">
        <f>IRR($C$14:C153,D152)</f>
        <v>2.4823372703900892E-2</v>
      </c>
    </row>
    <row r="154" spans="2:4" x14ac:dyDescent="0.25">
      <c r="B154" s="174">
        <v>140</v>
      </c>
      <c r="C154" s="182">
        <f t="shared" si="2"/>
        <v>0</v>
      </c>
      <c r="D154" s="195">
        <f>IRR($C$14:C154,D153)</f>
        <v>2.482337270647017E-2</v>
      </c>
    </row>
    <row r="155" spans="2:4" x14ac:dyDescent="0.25">
      <c r="B155" s="174">
        <v>141</v>
      </c>
      <c r="C155" s="182">
        <f t="shared" si="2"/>
        <v>52</v>
      </c>
      <c r="D155" s="195">
        <f>IRR($C$14:C155,D154)</f>
        <v>2.4868473427911875E-2</v>
      </c>
    </row>
    <row r="156" spans="2:4" x14ac:dyDescent="0.25">
      <c r="B156" s="174">
        <v>142</v>
      </c>
      <c r="C156" s="182">
        <f t="shared" si="2"/>
        <v>0</v>
      </c>
      <c r="D156" s="195">
        <f>IRR($C$14:C156,D155)</f>
        <v>2.4868473430242677E-2</v>
      </c>
    </row>
    <row r="157" spans="2:4" x14ac:dyDescent="0.25">
      <c r="B157" s="174">
        <v>143</v>
      </c>
      <c r="C157" s="182">
        <f t="shared" si="2"/>
        <v>52</v>
      </c>
      <c r="D157" s="195">
        <f>IRR($C$14:C157,D156)</f>
        <v>2.4911011655348814E-2</v>
      </c>
    </row>
    <row r="158" spans="2:4" x14ac:dyDescent="0.25">
      <c r="B158" s="174">
        <v>144</v>
      </c>
      <c r="C158" s="182">
        <f t="shared" si="2"/>
        <v>0</v>
      </c>
      <c r="D158" s="195">
        <f>IRR($C$14:C158,D157)</f>
        <v>2.4911011657463122E-2</v>
      </c>
    </row>
    <row r="159" spans="2:4" x14ac:dyDescent="0.25">
      <c r="B159" s="174">
        <v>145</v>
      </c>
      <c r="C159" s="182">
        <f t="shared" si="2"/>
        <v>52</v>
      </c>
      <c r="D159" s="195">
        <f>IRR($C$14:C159,D158)</f>
        <v>2.4951145166978383E-2</v>
      </c>
    </row>
    <row r="160" spans="2:4" x14ac:dyDescent="0.25">
      <c r="B160" s="174">
        <v>146</v>
      </c>
      <c r="C160" s="182">
        <f t="shared" si="2"/>
        <v>0</v>
      </c>
      <c r="D160" s="195">
        <f>IRR($C$14:C160,D159)</f>
        <v>2.4951145168897071E-2</v>
      </c>
    </row>
    <row r="161" spans="2:4" x14ac:dyDescent="0.25">
      <c r="B161" s="174">
        <v>147</v>
      </c>
      <c r="C161" s="182">
        <f t="shared" si="2"/>
        <v>52</v>
      </c>
      <c r="D161" s="195">
        <f>IRR($C$14:C161,D160)</f>
        <v>2.4989020950541896E-2</v>
      </c>
    </row>
    <row r="162" spans="2:4" x14ac:dyDescent="0.25">
      <c r="B162" s="174">
        <v>148</v>
      </c>
      <c r="C162" s="182">
        <f t="shared" si="2"/>
        <v>0</v>
      </c>
      <c r="D162" s="195">
        <f>IRR($C$14:C162,D161)</f>
        <v>2.498902095228317E-2</v>
      </c>
    </row>
    <row r="163" spans="2:4" x14ac:dyDescent="0.25">
      <c r="B163" s="174">
        <v>149</v>
      </c>
      <c r="C163" s="182">
        <f t="shared" si="2"/>
        <v>52</v>
      </c>
      <c r="D163" s="195">
        <f>IRR($C$14:C163,D162)</f>
        <v>2.5024776034301643E-2</v>
      </c>
    </row>
    <row r="164" spans="2:4" x14ac:dyDescent="0.25">
      <c r="B164" s="174">
        <v>150</v>
      </c>
      <c r="C164" s="182">
        <f t="shared" si="2"/>
        <v>0</v>
      </c>
      <c r="D164" s="195">
        <f>IRR($C$14:C164,D163)</f>
        <v>2.5024776035882601E-2</v>
      </c>
    </row>
    <row r="165" spans="2:4" x14ac:dyDescent="0.25">
      <c r="B165" s="174">
        <v>151</v>
      </c>
      <c r="C165" s="182">
        <f t="shared" si="2"/>
        <v>52</v>
      </c>
      <c r="D165" s="195">
        <f>IRR($C$14:C165,D164)</f>
        <v>2.5058538247720419E-2</v>
      </c>
    </row>
    <row r="166" spans="2:4" x14ac:dyDescent="0.25">
      <c r="B166" s="174">
        <v>152</v>
      </c>
      <c r="C166" s="182">
        <f t="shared" si="2"/>
        <v>0</v>
      </c>
      <c r="D166" s="195">
        <f>IRR($C$14:C166,D165)</f>
        <v>2.5058538249155937E-2</v>
      </c>
    </row>
    <row r="167" spans="2:4" x14ac:dyDescent="0.25">
      <c r="B167" s="174">
        <v>153</v>
      </c>
      <c r="C167" s="182">
        <f t="shared" si="2"/>
        <v>52</v>
      </c>
      <c r="D167" s="195">
        <f>IRR($C$14:C167,D166)</f>
        <v>2.509042691642005E-2</v>
      </c>
    </row>
    <row r="168" spans="2:4" x14ac:dyDescent="0.25">
      <c r="B168" s="174">
        <v>154</v>
      </c>
      <c r="C168" s="182">
        <f t="shared" si="2"/>
        <v>0</v>
      </c>
      <c r="D168" s="195">
        <f>IRR($C$14:C168,D167)</f>
        <v>2.5090426917723896E-2</v>
      </c>
    </row>
    <row r="169" spans="2:4" x14ac:dyDescent="0.25">
      <c r="B169" s="174">
        <v>155</v>
      </c>
      <c r="C169" s="182">
        <f t="shared" si="2"/>
        <v>52</v>
      </c>
      <c r="D169" s="195">
        <f>IRR($C$14:C169,D168)</f>
        <v>2.512055349780784E-2</v>
      </c>
    </row>
    <row r="170" spans="2:4" x14ac:dyDescent="0.25">
      <c r="B170" s="174">
        <v>156</v>
      </c>
      <c r="C170" s="182">
        <f t="shared" si="2"/>
        <v>0</v>
      </c>
      <c r="D170" s="195">
        <f>IRR($C$14:C170,D169)</f>
        <v>2.5120553498991782E-2</v>
      </c>
    </row>
    <row r="171" spans="2:4" x14ac:dyDescent="0.25">
      <c r="B171" s="174">
        <v>157</v>
      </c>
      <c r="C171" s="182">
        <f t="shared" si="2"/>
        <v>52</v>
      </c>
      <c r="D171" s="195">
        <f>IRR($C$14:C171,D170)</f>
        <v>2.5149022163039714E-2</v>
      </c>
    </row>
    <row r="172" spans="2:4" x14ac:dyDescent="0.25">
      <c r="B172" s="174">
        <v>158</v>
      </c>
      <c r="C172" s="182">
        <f t="shared" si="2"/>
        <v>0</v>
      </c>
      <c r="D172" s="195">
        <f>IRR($C$14:C172,D171)</f>
        <v>2.514902216411552E-2</v>
      </c>
    </row>
    <row r="173" spans="2:4" x14ac:dyDescent="0.25">
      <c r="B173" s="174">
        <v>159</v>
      </c>
      <c r="C173" s="182">
        <f t="shared" si="2"/>
        <v>52</v>
      </c>
      <c r="D173" s="195">
        <f>IRR($C$14:C173,D172)</f>
        <v>2.5175930330422647E-2</v>
      </c>
    </row>
    <row r="174" spans="2:4" x14ac:dyDescent="0.25">
      <c r="B174" s="174">
        <v>160</v>
      </c>
      <c r="C174" s="182">
        <f t="shared" si="2"/>
        <v>0</v>
      </c>
      <c r="D174" s="195">
        <f>IRR($C$14:C174,D173)</f>
        <v>2.5175930331399865E-2</v>
      </c>
    </row>
    <row r="175" spans="2:4" x14ac:dyDescent="0.25">
      <c r="B175" s="174">
        <v>161</v>
      </c>
      <c r="C175" s="182">
        <f t="shared" si="2"/>
        <v>52</v>
      </c>
      <c r="D175" s="195">
        <f>IRR($C$14:C175,D174)</f>
        <v>2.5201369154789877E-2</v>
      </c>
    </row>
    <row r="176" spans="2:4" x14ac:dyDescent="0.25">
      <c r="B176" s="174">
        <v>162</v>
      </c>
      <c r="C176" s="182">
        <f t="shared" si="2"/>
        <v>0</v>
      </c>
      <c r="D176" s="195">
        <f>IRR($C$14:C176,D175)</f>
        <v>2.5201369155677833E-2</v>
      </c>
    </row>
    <row r="177" spans="2:4" x14ac:dyDescent="0.25">
      <c r="B177" s="174">
        <v>163</v>
      </c>
      <c r="C177" s="182">
        <f t="shared" si="2"/>
        <v>52</v>
      </c>
      <c r="D177" s="195">
        <f>IRR($C$14:C177,D176)</f>
        <v>2.5225423976932726E-2</v>
      </c>
    </row>
    <row r="178" spans="2:4" x14ac:dyDescent="0.25">
      <c r="B178" s="174">
        <v>164</v>
      </c>
      <c r="C178" s="182">
        <f t="shared" si="2"/>
        <v>0</v>
      </c>
      <c r="D178" s="195">
        <f>IRR($C$14:C178,D177)</f>
        <v>2.5225423977739192E-2</v>
      </c>
    </row>
    <row r="179" spans="2:4" x14ac:dyDescent="0.25">
      <c r="B179" s="174">
        <v>165</v>
      </c>
      <c r="C179" s="182">
        <f t="shared" si="2"/>
        <v>52</v>
      </c>
      <c r="D179" s="195">
        <f>IRR($C$14:C179,D178)</f>
        <v>2.5248174736742568E-2</v>
      </c>
    </row>
    <row r="180" spans="2:4" x14ac:dyDescent="0.25">
      <c r="B180" s="174">
        <v>166</v>
      </c>
      <c r="C180" s="182">
        <f t="shared" si="2"/>
        <v>0</v>
      </c>
      <c r="D180" s="195">
        <f>IRR($C$14:C180,D179)</f>
        <v>2.5248174737475537E-2</v>
      </c>
    </row>
    <row r="181" spans="2:4" x14ac:dyDescent="0.25">
      <c r="B181" s="174">
        <v>167</v>
      </c>
      <c r="C181" s="182">
        <f t="shared" si="2"/>
        <v>52</v>
      </c>
      <c r="D181" s="195">
        <f>IRR($C$14:C181,D180)</f>
        <v>2.5269696353350524E-2</v>
      </c>
    </row>
    <row r="182" spans="2:4" x14ac:dyDescent="0.25">
      <c r="B182" s="174">
        <v>168</v>
      </c>
      <c r="C182" s="182">
        <f t="shared" si="2"/>
        <v>0</v>
      </c>
      <c r="D182" s="195">
        <f>IRR($C$14:C182,D181)</f>
        <v>2.5269696354016435E-2</v>
      </c>
    </row>
    <row r="183" spans="2:4" x14ac:dyDescent="0.25">
      <c r="B183" s="174">
        <v>169</v>
      </c>
      <c r="C183" s="182">
        <f t="shared" si="2"/>
        <v>52</v>
      </c>
      <c r="D183" s="195">
        <f>IRR($C$14:C183,D182)</f>
        <v>2.5290059075216309E-2</v>
      </c>
    </row>
    <row r="184" spans="2:4" x14ac:dyDescent="0.25">
      <c r="B184" s="174">
        <v>170</v>
      </c>
      <c r="C184" s="182">
        <f t="shared" si="2"/>
        <v>0</v>
      </c>
      <c r="D184" s="195">
        <f>IRR($C$14:C184,D183)</f>
        <v>2.5290059075821159E-2</v>
      </c>
    </row>
    <row r="185" spans="2:4" x14ac:dyDescent="0.25">
      <c r="B185" s="174">
        <v>171</v>
      </c>
      <c r="C185" s="182">
        <f t="shared" si="2"/>
        <v>52</v>
      </c>
      <c r="D185" s="195">
        <f>IRR($C$14:C185,D184)</f>
        <v>2.5309328802831432E-2</v>
      </c>
    </row>
    <row r="186" spans="2:4" x14ac:dyDescent="0.25">
      <c r="B186" s="174">
        <v>172</v>
      </c>
      <c r="C186" s="182">
        <f t="shared" si="2"/>
        <v>0</v>
      </c>
      <c r="D186" s="195">
        <f>IRR($C$14:C186,D185)</f>
        <v>2.5309328803381215E-2</v>
      </c>
    </row>
    <row r="187" spans="2:4" x14ac:dyDescent="0.25">
      <c r="B187" s="174">
        <v>173</v>
      </c>
      <c r="C187" s="182">
        <f t="shared" si="2"/>
        <v>52</v>
      </c>
      <c r="D187" s="195">
        <f>IRR($C$14:C187,D186)</f>
        <v>2.5327567386433714E-2</v>
      </c>
    </row>
    <row r="188" spans="2:4" x14ac:dyDescent="0.25">
      <c r="B188" s="174">
        <v>174</v>
      </c>
      <c r="C188" s="182">
        <f t="shared" si="2"/>
        <v>0</v>
      </c>
      <c r="D188" s="195">
        <f>IRR($C$14:C188,D187)</f>
        <v>2.5327567386933536E-2</v>
      </c>
    </row>
    <row r="189" spans="2:4" x14ac:dyDescent="0.25">
      <c r="B189" s="174">
        <v>175</v>
      </c>
      <c r="C189" s="182">
        <f t="shared" si="2"/>
        <v>52</v>
      </c>
      <c r="D189" s="195">
        <f>IRR($C$14:C189,D188)</f>
        <v>2.5344832900901615E-2</v>
      </c>
    </row>
    <row r="190" spans="2:4" x14ac:dyDescent="0.25">
      <c r="B190" s="174">
        <v>176</v>
      </c>
      <c r="C190" s="182">
        <f t="shared" si="2"/>
        <v>0</v>
      </c>
      <c r="D190" s="195">
        <f>IRR($C$14:C190,D189)</f>
        <v>2.5344832901355474E-2</v>
      </c>
    </row>
    <row r="191" spans="2:4" x14ac:dyDescent="0.25">
      <c r="B191" s="174">
        <v>177</v>
      </c>
      <c r="C191" s="182">
        <f t="shared" si="2"/>
        <v>52</v>
      </c>
      <c r="D191" s="195">
        <f>IRR($C$14:C191,D190)</f>
        <v>2.5361179899783037E-2</v>
      </c>
    </row>
    <row r="192" spans="2:4" x14ac:dyDescent="0.25">
      <c r="B192" s="174">
        <v>178</v>
      </c>
      <c r="C192" s="182">
        <f t="shared" si="2"/>
        <v>0</v>
      </c>
      <c r="D192" s="195">
        <f>IRR($C$14:C192,D191)</f>
        <v>2.5361179900195818E-2</v>
      </c>
    </row>
    <row r="193" spans="2:4" x14ac:dyDescent="0.25">
      <c r="B193" s="174">
        <v>179</v>
      </c>
      <c r="C193" s="182">
        <f t="shared" si="2"/>
        <v>52</v>
      </c>
      <c r="D193" s="195">
        <f>IRR($C$14:C193,D192)</f>
        <v>2.5376659650236277E-2</v>
      </c>
    </row>
    <row r="194" spans="2:4" x14ac:dyDescent="0.25">
      <c r="B194" s="174">
        <v>180</v>
      </c>
      <c r="C194" s="182">
        <f t="shared" si="2"/>
        <v>0</v>
      </c>
      <c r="D194" s="195">
        <f>IRR($C$14:C194,D193)</f>
        <v>2.5376659650611089E-2</v>
      </c>
    </row>
    <row r="195" spans="2:4" x14ac:dyDescent="0.25">
      <c r="B195" s="174">
        <v>181</v>
      </c>
      <c r="C195" s="182">
        <f t="shared" si="2"/>
        <v>52</v>
      </c>
      <c r="D195" s="195">
        <f>IRR($C$14:C195,D194)</f>
        <v>2.539132035047853E-2</v>
      </c>
    </row>
    <row r="196" spans="2:4" x14ac:dyDescent="0.25">
      <c r="B196" s="174">
        <v>182</v>
      </c>
      <c r="C196" s="182">
        <f t="shared" si="2"/>
        <v>0</v>
      </c>
      <c r="D196" s="195">
        <f>IRR($C$14:C196,D195)</f>
        <v>2.5391320350819369E-2</v>
      </c>
    </row>
    <row r="197" spans="2:4" x14ac:dyDescent="0.25">
      <c r="B197" s="174">
        <v>183</v>
      </c>
      <c r="C197" s="182">
        <f t="shared" si="2"/>
        <v>52</v>
      </c>
      <c r="D197" s="195">
        <f>IRR($C$14:C197,D196)</f>
        <v>2.5405207331206325E-2</v>
      </c>
    </row>
    <row r="198" spans="2:4" x14ac:dyDescent="0.25">
      <c r="B198" s="174">
        <v>184</v>
      </c>
      <c r="C198" s="182">
        <f t="shared" si="2"/>
        <v>0</v>
      </c>
      <c r="D198" s="195">
        <f>IRR($C$14:C198,D197)</f>
        <v>2.5405207331515633E-2</v>
      </c>
    </row>
    <row r="199" spans="2:4" x14ac:dyDescent="0.25">
      <c r="B199" s="174">
        <v>185</v>
      </c>
      <c r="C199" s="182">
        <f t="shared" si="2"/>
        <v>52</v>
      </c>
      <c r="D199" s="195">
        <f>IRR($C$14:C199,D198)</f>
        <v>2.5418363242301512E-2</v>
      </c>
    </row>
    <row r="200" spans="2:4" x14ac:dyDescent="0.25">
      <c r="B200" s="174">
        <v>186</v>
      </c>
      <c r="C200" s="182">
        <f t="shared" si="2"/>
        <v>0</v>
      </c>
      <c r="D200" s="195">
        <f>IRR($C$14:C200,D199)</f>
        <v>2.541836324258262E-2</v>
      </c>
    </row>
    <row r="201" spans="2:4" x14ac:dyDescent="0.25">
      <c r="B201" s="174">
        <v>187</v>
      </c>
      <c r="C201" s="182">
        <f t="shared" si="2"/>
        <v>52</v>
      </c>
      <c r="D201" s="195">
        <f>IRR($C$14:C201,D200)</f>
        <v>2.5430828226025159E-2</v>
      </c>
    </row>
    <row r="202" spans="2:4" x14ac:dyDescent="0.25">
      <c r="B202" s="174">
        <v>188</v>
      </c>
      <c r="C202" s="182">
        <f t="shared" si="2"/>
        <v>0</v>
      </c>
      <c r="D202" s="195">
        <f>IRR($C$14:C202,D201)</f>
        <v>2.5430828226280733E-2</v>
      </c>
    </row>
    <row r="203" spans="2:4" x14ac:dyDescent="0.25">
      <c r="B203" s="174">
        <v>189</v>
      </c>
      <c r="C203" s="182">
        <f t="shared" si="2"/>
        <v>52</v>
      </c>
      <c r="D203" s="195">
        <f>IRR($C$14:C203,D202)</f>
        <v>2.5442640077793399E-2</v>
      </c>
    </row>
    <row r="204" spans="2:4" x14ac:dyDescent="0.25">
      <c r="B204" s="174">
        <v>190</v>
      </c>
      <c r="C204" s="182">
        <f t="shared" si="2"/>
        <v>0</v>
      </c>
      <c r="D204" s="195">
        <f>IRR($C$14:C204,D203)</f>
        <v>2.5442640078025436E-2</v>
      </c>
    </row>
    <row r="205" spans="2:4" x14ac:dyDescent="0.25">
      <c r="B205" s="174">
        <v>191</v>
      </c>
      <c r="C205" s="182">
        <f t="shared" si="2"/>
        <v>52</v>
      </c>
      <c r="D205" s="195">
        <f>IRR($C$14:C205,D204)</f>
        <v>2.5453834395521735E-2</v>
      </c>
    </row>
    <row r="206" spans="2:4" x14ac:dyDescent="0.25">
      <c r="B206" s="174">
        <v>192</v>
      </c>
      <c r="C206" s="182">
        <f t="shared" si="2"/>
        <v>0</v>
      </c>
      <c r="D206" s="195">
        <f>IRR($C$14:C206,D205)</f>
        <v>2.5453834395732899E-2</v>
      </c>
    </row>
    <row r="207" spans="2:4" x14ac:dyDescent="0.25">
      <c r="B207" s="174">
        <v>193</v>
      </c>
      <c r="C207" s="182">
        <f t="shared" si="2"/>
        <v>52</v>
      </c>
      <c r="D207" s="195">
        <f>IRR($C$14:C207,D206)</f>
        <v>2.5464444718452217E-2</v>
      </c>
    </row>
    <row r="208" spans="2:4" x14ac:dyDescent="0.25">
      <c r="B208" s="174">
        <v>194</v>
      </c>
      <c r="C208" s="182">
        <f t="shared" si="2"/>
        <v>0</v>
      </c>
      <c r="D208" s="195">
        <f>IRR($C$14:C208,D207)</f>
        <v>2.5464444718643398E-2</v>
      </c>
    </row>
    <row r="209" spans="2:4" x14ac:dyDescent="0.25">
      <c r="B209" s="174">
        <v>195</v>
      </c>
      <c r="C209" s="182">
        <f t="shared" ref="C209:C272" si="3">IF(MOD(B209,2)=0,0,52)</f>
        <v>52</v>
      </c>
      <c r="D209" s="195">
        <f>IRR($C$14:C209,D208)</f>
        <v>2.5474502656277931E-2</v>
      </c>
    </row>
    <row r="210" spans="2:4" x14ac:dyDescent="0.25">
      <c r="B210" s="174">
        <v>196</v>
      </c>
      <c r="C210" s="182">
        <f t="shared" si="3"/>
        <v>0</v>
      </c>
      <c r="D210" s="195">
        <f>IRR($C$14:C210,D209)</f>
        <v>2.5474502656451792E-2</v>
      </c>
    </row>
    <row r="211" spans="2:4" x14ac:dyDescent="0.25">
      <c r="B211" s="174">
        <v>197</v>
      </c>
      <c r="C211" s="182">
        <f t="shared" si="3"/>
        <v>52</v>
      </c>
      <c r="D211" s="195">
        <f>IRR($C$14:C211,D210)</f>
        <v>2.5484038009333521E-2</v>
      </c>
    </row>
    <row r="212" spans="2:4" x14ac:dyDescent="0.25">
      <c r="B212" s="174">
        <v>198</v>
      </c>
      <c r="C212" s="182">
        <f t="shared" si="3"/>
        <v>0</v>
      </c>
      <c r="D212" s="195">
        <f>IRR($C$14:C212,D211)</f>
        <v>2.5484038009491616E-2</v>
      </c>
    </row>
    <row r="213" spans="2:4" x14ac:dyDescent="0.25">
      <c r="B213" s="174">
        <v>199</v>
      </c>
      <c r="C213" s="182">
        <f t="shared" si="3"/>
        <v>52</v>
      </c>
      <c r="D213" s="195">
        <f>IRR($C$14:C213,D212)</f>
        <v>2.5493078880526099E-2</v>
      </c>
    </row>
    <row r="214" spans="2:4" x14ac:dyDescent="0.25">
      <c r="B214" s="174">
        <v>200</v>
      </c>
      <c r="C214" s="182">
        <f t="shared" si="3"/>
        <v>0</v>
      </c>
      <c r="D214" s="195">
        <f>IRR($C$14:C214,D213)</f>
        <v>2.549307888066954E-2</v>
      </c>
    </row>
    <row r="215" spans="2:4" x14ac:dyDescent="0.25">
      <c r="B215" s="174">
        <v>201</v>
      </c>
      <c r="C215" s="182">
        <f t="shared" si="3"/>
        <v>52</v>
      </c>
      <c r="D215" s="195">
        <f>IRR($C$14:C215,D214)</f>
        <v>2.5501651779643808E-2</v>
      </c>
    </row>
    <row r="216" spans="2:4" x14ac:dyDescent="0.25">
      <c r="B216" s="174">
        <v>202</v>
      </c>
      <c r="C216" s="182">
        <f t="shared" si="3"/>
        <v>0</v>
      </c>
      <c r="D216" s="195">
        <f>IRR($C$14:C216,D215)</f>
        <v>2.5501651779773704E-2</v>
      </c>
    </row>
    <row r="217" spans="2:4" x14ac:dyDescent="0.25">
      <c r="B217" s="174">
        <v>203</v>
      </c>
      <c r="C217" s="182">
        <f t="shared" si="3"/>
        <v>52</v>
      </c>
      <c r="D217" s="195">
        <f>IRR($C$14:C217,D216)</f>
        <v>2.5509781720619129E-2</v>
      </c>
    </row>
    <row r="218" spans="2:4" x14ac:dyDescent="0.25">
      <c r="B218" s="174">
        <v>204</v>
      </c>
      <c r="C218" s="182">
        <f t="shared" si="3"/>
        <v>0</v>
      </c>
      <c r="D218" s="195">
        <f>IRR($C$14:C218,D217)</f>
        <v>2.5509781720737257E-2</v>
      </c>
    </row>
    <row r="219" spans="2:4" x14ac:dyDescent="0.25">
      <c r="B219" s="174">
        <v>205</v>
      </c>
      <c r="C219" s="182">
        <f t="shared" si="3"/>
        <v>52</v>
      </c>
      <c r="D219" s="195">
        <f>IRR($C$14:C219,D218)</f>
        <v>2.5517492312274959E-2</v>
      </c>
    </row>
    <row r="220" spans="2:4" x14ac:dyDescent="0.25">
      <c r="B220" s="174">
        <v>206</v>
      </c>
      <c r="C220" s="182">
        <f t="shared" si="3"/>
        <v>0</v>
      </c>
      <c r="D220" s="195">
        <f>IRR($C$14:C220,D219)</f>
        <v>2.5517492312382428E-2</v>
      </c>
    </row>
    <row r="221" spans="2:4" x14ac:dyDescent="0.25">
      <c r="B221" s="174">
        <v>207</v>
      </c>
      <c r="C221" s="182">
        <f t="shared" si="3"/>
        <v>52</v>
      </c>
      <c r="D221" s="195">
        <f>IRR($C$14:C221,D220)</f>
        <v>2.5524805843033294E-2</v>
      </c>
    </row>
    <row r="222" spans="2:4" x14ac:dyDescent="0.25">
      <c r="B222" s="174">
        <v>208</v>
      </c>
      <c r="C222" s="182">
        <f t="shared" si="3"/>
        <v>0</v>
      </c>
      <c r="D222" s="195">
        <f>IRR($C$14:C222,D221)</f>
        <v>2.5524805843130993E-2</v>
      </c>
    </row>
    <row r="223" spans="2:4" x14ac:dyDescent="0.25">
      <c r="B223" s="174">
        <v>209</v>
      </c>
      <c r="C223" s="182">
        <f t="shared" si="3"/>
        <v>52</v>
      </c>
      <c r="D223" s="195">
        <f>IRR($C$14:C223,D222)</f>
        <v>2.5531743360037495E-2</v>
      </c>
    </row>
    <row r="224" spans="2:4" x14ac:dyDescent="0.25">
      <c r="B224" s="174">
        <v>210</v>
      </c>
      <c r="C224" s="182">
        <f t="shared" si="3"/>
        <v>0</v>
      </c>
      <c r="D224" s="195">
        <f>IRR($C$14:C224,D223)</f>
        <v>2.5531743360125869E-2</v>
      </c>
    </row>
    <row r="225" spans="2:4" x14ac:dyDescent="0.25">
      <c r="B225" s="174">
        <v>211</v>
      </c>
      <c r="C225" s="182">
        <f t="shared" si="3"/>
        <v>52</v>
      </c>
      <c r="D225" s="195">
        <f>IRR($C$14:C225,D224)</f>
        <v>2.5538324743092033E-2</v>
      </c>
    </row>
    <row r="226" spans="2:4" x14ac:dyDescent="0.25">
      <c r="B226" s="174">
        <v>212</v>
      </c>
      <c r="C226" s="182">
        <f t="shared" si="3"/>
        <v>0</v>
      </c>
      <c r="D226" s="195">
        <f>IRR($C$14:C226,D225)</f>
        <v>2.5538324743172636E-2</v>
      </c>
    </row>
    <row r="227" spans="2:4" x14ac:dyDescent="0.25">
      <c r="B227" s="174">
        <v>213</v>
      </c>
      <c r="C227" s="182">
        <f t="shared" si="3"/>
        <v>52</v>
      </c>
      <c r="D227" s="195">
        <f>IRR($C$14:C227,D226)</f>
        <v>2.5544568773798959E-2</v>
      </c>
    </row>
    <row r="228" spans="2:4" x14ac:dyDescent="0.25">
      <c r="B228" s="174">
        <v>214</v>
      </c>
      <c r="C228" s="182">
        <f t="shared" si="3"/>
        <v>0</v>
      </c>
      <c r="D228" s="195">
        <f>IRR($C$14:C228,D227)</f>
        <v>2.554456877387179E-2</v>
      </c>
    </row>
    <row r="229" spans="2:4" x14ac:dyDescent="0.25">
      <c r="B229" s="174">
        <v>215</v>
      </c>
      <c r="C229" s="182">
        <f t="shared" si="3"/>
        <v>52</v>
      </c>
      <c r="D229" s="195">
        <f>IRR($C$14:C229,D228)</f>
        <v>2.5550493200228841E-2</v>
      </c>
    </row>
    <row r="230" spans="2:4" x14ac:dyDescent="0.25">
      <c r="B230" s="174">
        <v>216</v>
      </c>
      <c r="C230" s="182">
        <f t="shared" si="3"/>
        <v>0</v>
      </c>
      <c r="D230" s="195">
        <f>IRR($C$14:C230,D229)</f>
        <v>2.5550493200295232E-2</v>
      </c>
    </row>
    <row r="231" spans="2:4" x14ac:dyDescent="0.25">
      <c r="B231" s="174">
        <v>217</v>
      </c>
      <c r="C231" s="182">
        <f t="shared" si="3"/>
        <v>52</v>
      </c>
      <c r="D231" s="195">
        <f>IRR($C$14:C231,D230)</f>
        <v>2.5556114797455232E-2</v>
      </c>
    </row>
    <row r="232" spans="2:4" x14ac:dyDescent="0.25">
      <c r="B232" s="174">
        <v>218</v>
      </c>
      <c r="C232" s="182">
        <f t="shared" si="3"/>
        <v>0</v>
      </c>
      <c r="D232" s="195">
        <f>IRR($C$14:C232,D231)</f>
        <v>2.5556114797515184E-2</v>
      </c>
    </row>
    <row r="233" spans="2:4" x14ac:dyDescent="0.25">
      <c r="B233" s="174">
        <v>219</v>
      </c>
      <c r="C233" s="182">
        <f t="shared" si="3"/>
        <v>52</v>
      </c>
      <c r="D233" s="195">
        <f>IRR($C$14:C233,D232)</f>
        <v>2.5561449424232885E-2</v>
      </c>
    </row>
    <row r="234" spans="2:4" x14ac:dyDescent="0.25">
      <c r="B234" s="174">
        <v>220</v>
      </c>
      <c r="C234" s="182">
        <f t="shared" si="3"/>
        <v>0</v>
      </c>
      <c r="D234" s="195">
        <f>IRR($C$14:C234,D233)</f>
        <v>2.5561449424287508E-2</v>
      </c>
    </row>
    <row r="235" spans="2:4" x14ac:dyDescent="0.25">
      <c r="B235" s="174">
        <v>221</v>
      </c>
      <c r="C235" s="182">
        <f t="shared" si="3"/>
        <v>52</v>
      </c>
      <c r="D235" s="195">
        <f>IRR($C$14:C235,D234)</f>
        <v>2.5566512076099723E-2</v>
      </c>
    </row>
    <row r="236" spans="2:4" x14ac:dyDescent="0.25">
      <c r="B236" s="174">
        <v>222</v>
      </c>
      <c r="C236" s="182">
        <f t="shared" si="3"/>
        <v>0</v>
      </c>
      <c r="D236" s="195">
        <f>IRR($C$14:C236,D235)</f>
        <v>2.5566512076149239E-2</v>
      </c>
    </row>
    <row r="237" spans="2:4" x14ac:dyDescent="0.25">
      <c r="B237" s="174">
        <v>223</v>
      </c>
      <c r="C237" s="182">
        <f t="shared" si="3"/>
        <v>52</v>
      </c>
      <c r="D237" s="195">
        <f>IRR($C$14:C237,D236)</f>
        <v>2.5571316935145694E-2</v>
      </c>
    </row>
    <row r="238" spans="2:4" x14ac:dyDescent="0.25">
      <c r="B238" s="174">
        <v>224</v>
      </c>
      <c r="C238" s="182">
        <f t="shared" si="3"/>
        <v>0</v>
      </c>
      <c r="D238" s="195">
        <f>IRR($C$14:C238,D237)</f>
        <v>2.5571316935190769E-2</v>
      </c>
    </row>
    <row r="239" spans="2:4" x14ac:dyDescent="0.25">
      <c r="B239" s="174">
        <v>225</v>
      </c>
      <c r="C239" s="182">
        <f t="shared" si="3"/>
        <v>52</v>
      </c>
      <c r="D239" s="195">
        <f>IRR($C$14:C239,D238)</f>
        <v>2.5575877416679438E-2</v>
      </c>
    </row>
    <row r="240" spans="2:4" x14ac:dyDescent="0.25">
      <c r="B240" s="174">
        <v>226</v>
      </c>
      <c r="C240" s="182">
        <f t="shared" si="3"/>
        <v>0</v>
      </c>
      <c r="D240" s="195">
        <f>IRR($C$14:C240,D239)</f>
        <v>2.5575877416720072E-2</v>
      </c>
    </row>
    <row r="241" spans="2:4" x14ac:dyDescent="0.25">
      <c r="B241" s="174">
        <v>227</v>
      </c>
      <c r="C241" s="182">
        <f t="shared" si="3"/>
        <v>52</v>
      </c>
      <c r="D241" s="195">
        <f>IRR($C$14:C241,D240)</f>
        <v>2.558020621300594E-2</v>
      </c>
    </row>
    <row r="242" spans="2:4" x14ac:dyDescent="0.25">
      <c r="B242" s="174">
        <v>228</v>
      </c>
      <c r="C242" s="182">
        <f t="shared" si="3"/>
        <v>0</v>
      </c>
      <c r="D242" s="195">
        <f>IRR($C$14:C242,D241)</f>
        <v>2.5580206213043022E-2</v>
      </c>
    </row>
    <row r="243" spans="2:4" x14ac:dyDescent="0.25">
      <c r="B243" s="174">
        <v>229</v>
      </c>
      <c r="C243" s="182">
        <f t="shared" si="3"/>
        <v>52</v>
      </c>
      <c r="D243" s="195">
        <f>IRR($C$14:C243,D242)</f>
        <v>2.5584315334511443E-2</v>
      </c>
    </row>
    <row r="244" spans="2:4" x14ac:dyDescent="0.25">
      <c r="B244" s="174">
        <v>230</v>
      </c>
      <c r="C244" s="182">
        <f t="shared" si="3"/>
        <v>0</v>
      </c>
      <c r="D244" s="195">
        <f>IRR($C$14:C244,D243)</f>
        <v>2.5584315334545193E-2</v>
      </c>
    </row>
    <row r="245" spans="2:4" x14ac:dyDescent="0.25">
      <c r="B245" s="174">
        <v>231</v>
      </c>
      <c r="C245" s="182">
        <f t="shared" si="3"/>
        <v>52</v>
      </c>
      <c r="D245" s="195">
        <f>IRR($C$14:C245,D244)</f>
        <v>2.5588216148236365E-2</v>
      </c>
    </row>
    <row r="246" spans="2:4" x14ac:dyDescent="0.25">
      <c r="B246" s="174">
        <v>232</v>
      </c>
      <c r="C246" s="182">
        <f t="shared" si="3"/>
        <v>0</v>
      </c>
      <c r="D246" s="195">
        <f>IRR($C$14:C246,D245)</f>
        <v>2.5588216148267007E-2</v>
      </c>
    </row>
    <row r="247" spans="2:4" x14ac:dyDescent="0.25">
      <c r="B247" s="174">
        <v>233</v>
      </c>
      <c r="C247" s="182">
        <f t="shared" si="3"/>
        <v>52</v>
      </c>
      <c r="D247" s="195">
        <f>IRR($C$14:C247,D246)</f>
        <v>2.5591919414103659E-2</v>
      </c>
    </row>
    <row r="248" spans="2:4" x14ac:dyDescent="0.25">
      <c r="B248" s="174">
        <v>234</v>
      </c>
      <c r="C248" s="182">
        <f t="shared" si="3"/>
        <v>0</v>
      </c>
      <c r="D248" s="195">
        <f>IRR($C$14:C248,D247)</f>
        <v>2.5591919414131192E-2</v>
      </c>
    </row>
    <row r="249" spans="2:4" x14ac:dyDescent="0.25">
      <c r="B249" s="174">
        <v>235</v>
      </c>
      <c r="C249" s="182">
        <f t="shared" si="3"/>
        <v>52</v>
      </c>
      <c r="D249" s="195">
        <f>IRR($C$14:C249,D248)</f>
        <v>2.5595435318959581E-2</v>
      </c>
    </row>
    <row r="250" spans="2:4" x14ac:dyDescent="0.25">
      <c r="B250" s="174">
        <v>236</v>
      </c>
      <c r="C250" s="182">
        <f t="shared" si="3"/>
        <v>0</v>
      </c>
      <c r="D250" s="195">
        <f>IRR($C$14:C250,D249)</f>
        <v>2.5595435318984672E-2</v>
      </c>
    </row>
    <row r="251" spans="2:4" x14ac:dyDescent="0.25">
      <c r="B251" s="174">
        <v>237</v>
      </c>
      <c r="C251" s="182">
        <f t="shared" si="3"/>
        <v>52</v>
      </c>
      <c r="D251" s="195">
        <f>IRR($C$14:C251,D250)</f>
        <v>2.559877350857076E-2</v>
      </c>
    </row>
    <row r="252" spans="2:4" x14ac:dyDescent="0.25">
      <c r="B252" s="174">
        <v>238</v>
      </c>
      <c r="C252" s="182">
        <f t="shared" si="3"/>
        <v>0</v>
      </c>
      <c r="D252" s="195">
        <f>IRR($C$14:C252,D251)</f>
        <v>2.5598773508593409E-2</v>
      </c>
    </row>
    <row r="253" spans="2:4" x14ac:dyDescent="0.25">
      <c r="B253" s="174">
        <v>239</v>
      </c>
      <c r="C253" s="182">
        <f t="shared" si="3"/>
        <v>52</v>
      </c>
      <c r="D253" s="195">
        <f>IRR($C$14:C253,D252)</f>
        <v>2.5601943117712578E-2</v>
      </c>
    </row>
    <row r="254" spans="2:4" x14ac:dyDescent="0.25">
      <c r="B254" s="174">
        <v>240</v>
      </c>
      <c r="C254" s="182">
        <f t="shared" si="3"/>
        <v>0</v>
      </c>
      <c r="D254" s="195">
        <f>IRR($C$14:C254,D253)</f>
        <v>2.5601943117733228E-2</v>
      </c>
    </row>
    <row r="255" spans="2:4" x14ac:dyDescent="0.25">
      <c r="B255" s="174">
        <v>241</v>
      </c>
      <c r="C255" s="182">
        <f t="shared" si="3"/>
        <v>52</v>
      </c>
      <c r="D255" s="195">
        <f>IRR($C$14:C255,D254)</f>
        <v>2.5604952798467862E-2</v>
      </c>
    </row>
    <row r="256" spans="2:4" x14ac:dyDescent="0.25">
      <c r="B256" s="174">
        <v>242</v>
      </c>
      <c r="C256" s="182">
        <f t="shared" si="3"/>
        <v>0</v>
      </c>
      <c r="D256" s="195">
        <f>IRR($C$14:C256,D255)</f>
        <v>2.5604952798486513E-2</v>
      </c>
    </row>
    <row r="257" spans="2:4" x14ac:dyDescent="0.25">
      <c r="B257" s="174">
        <v>243</v>
      </c>
      <c r="C257" s="182">
        <f t="shared" si="3"/>
        <v>52</v>
      </c>
      <c r="D257" s="195">
        <f>IRR($C$14:C257,D256)</f>
        <v>2.5607810746858473E-2</v>
      </c>
    </row>
    <row r="258" spans="2:4" x14ac:dyDescent="0.25">
      <c r="B258" s="174">
        <v>244</v>
      </c>
      <c r="C258" s="182">
        <f t="shared" si="3"/>
        <v>0</v>
      </c>
      <c r="D258" s="195">
        <f>IRR($C$14:C258,D257)</f>
        <v>2.5607810746875348E-2</v>
      </c>
    </row>
    <row r="259" spans="2:4" x14ac:dyDescent="0.25">
      <c r="B259" s="174">
        <v>245</v>
      </c>
      <c r="C259" s="182">
        <f t="shared" si="3"/>
        <v>52</v>
      </c>
      <c r="D259" s="195">
        <f>IRR($C$14:C259,D258)</f>
        <v>2.5610524727911477E-2</v>
      </c>
    </row>
    <row r="260" spans="2:4" x14ac:dyDescent="0.25">
      <c r="B260" s="174">
        <v>246</v>
      </c>
      <c r="C260" s="182">
        <f t="shared" si="3"/>
        <v>0</v>
      </c>
      <c r="D260" s="195">
        <f>IRR($C$14:C260,D259)</f>
        <v>2.561052472792702E-2</v>
      </c>
    </row>
    <row r="261" spans="2:4" x14ac:dyDescent="0.25">
      <c r="B261" s="174">
        <v>247</v>
      </c>
      <c r="C261" s="182">
        <f t="shared" si="3"/>
        <v>52</v>
      </c>
      <c r="D261" s="195">
        <f>IRR($C$14:C261,D260)</f>
        <v>2.5613102099262708E-2</v>
      </c>
    </row>
    <row r="262" spans="2:4" x14ac:dyDescent="0.25">
      <c r="B262" s="174">
        <v>248</v>
      </c>
      <c r="C262" s="182">
        <f t="shared" si="3"/>
        <v>0</v>
      </c>
      <c r="D262" s="195">
        <f>IRR($C$14:C262,D261)</f>
        <v>2.5613102099276697E-2</v>
      </c>
    </row>
    <row r="263" spans="2:4" x14ac:dyDescent="0.25">
      <c r="B263" s="174">
        <v>249</v>
      </c>
      <c r="C263" s="182">
        <f t="shared" si="3"/>
        <v>52</v>
      </c>
      <c r="D263" s="195">
        <f>IRR($C$14:C263,D262)</f>
        <v>2.5615549833386098E-2</v>
      </c>
    </row>
    <row r="264" spans="2:4" x14ac:dyDescent="0.25">
      <c r="B264" s="174">
        <v>250</v>
      </c>
      <c r="C264" s="182">
        <f t="shared" si="3"/>
        <v>0</v>
      </c>
      <c r="D264" s="195">
        <f>IRR($C$14:C264,D263)</f>
        <v>2.5615549833398532E-2</v>
      </c>
    </row>
    <row r="265" spans="2:4" x14ac:dyDescent="0.25">
      <c r="B265" s="174">
        <v>251</v>
      </c>
      <c r="C265" s="182">
        <f t="shared" si="3"/>
        <v>52</v>
      </c>
      <c r="D265" s="195">
        <f>IRR($C$14:C265,D264)</f>
        <v>2.5617874538540697E-2</v>
      </c>
    </row>
    <row r="266" spans="2:4" x14ac:dyDescent="0.25">
      <c r="B266" s="174">
        <v>252</v>
      </c>
      <c r="C266" s="182">
        <f t="shared" si="3"/>
        <v>0</v>
      </c>
      <c r="D266" s="195">
        <f>IRR($C$14:C266,D265)</f>
        <v>2.5617874538552021E-2</v>
      </c>
    </row>
    <row r="267" spans="2:4" x14ac:dyDescent="0.25">
      <c r="B267" s="174">
        <v>253</v>
      </c>
      <c r="C267" s="182">
        <f t="shared" si="3"/>
        <v>52</v>
      </c>
      <c r="D267" s="195">
        <f>IRR($C$14:C267,D266)</f>
        <v>2.5620082478511552E-2</v>
      </c>
    </row>
    <row r="268" spans="2:4" x14ac:dyDescent="0.25">
      <c r="B268" s="174">
        <v>254</v>
      </c>
      <c r="C268" s="182">
        <f t="shared" si="3"/>
        <v>0</v>
      </c>
      <c r="D268" s="195">
        <f>IRR($C$14:C268,D267)</f>
        <v>2.562008247852221E-2</v>
      </c>
    </row>
    <row r="269" spans="2:4" x14ac:dyDescent="0.25">
      <c r="B269" s="174">
        <v>255</v>
      </c>
      <c r="C269" s="182">
        <f t="shared" si="3"/>
        <v>52</v>
      </c>
      <c r="D269" s="195">
        <f>IRR($C$14:C269,D268)</f>
        <v>2.5622179591219707E-2</v>
      </c>
    </row>
    <row r="270" spans="2:4" x14ac:dyDescent="0.25">
      <c r="B270" s="174">
        <v>256</v>
      </c>
      <c r="C270" s="182">
        <f t="shared" si="3"/>
        <v>0</v>
      </c>
      <c r="D270" s="195">
        <f>IRR($C$14:C270,D269)</f>
        <v>2.5622179591229033E-2</v>
      </c>
    </row>
    <row r="271" spans="2:4" x14ac:dyDescent="0.25">
      <c r="B271" s="174">
        <v>257</v>
      </c>
      <c r="C271" s="182">
        <f t="shared" si="3"/>
        <v>52</v>
      </c>
      <c r="D271" s="195">
        <f>IRR($C$14:C271,D270)</f>
        <v>2.5624171506271942E-2</v>
      </c>
    </row>
    <row r="272" spans="2:4" x14ac:dyDescent="0.25">
      <c r="B272" s="174">
        <v>258</v>
      </c>
      <c r="C272" s="182">
        <f t="shared" si="3"/>
        <v>0</v>
      </c>
      <c r="D272" s="195">
        <f>IRR($C$14:C272,D271)</f>
        <v>2.562417150628038E-2</v>
      </c>
    </row>
    <row r="273" spans="2:4" x14ac:dyDescent="0.25">
      <c r="B273" s="174">
        <v>259</v>
      </c>
      <c r="C273" s="182">
        <f t="shared" ref="C273:C336" si="4">IF(MOD(B273,2)=0,0,52)</f>
        <v>52</v>
      </c>
      <c r="D273" s="195">
        <f>IRR($C$14:C273,D272)</f>
        <v>2.5626063561514867E-2</v>
      </c>
    </row>
    <row r="274" spans="2:4" x14ac:dyDescent="0.25">
      <c r="B274" s="174">
        <v>260</v>
      </c>
      <c r="C274" s="182">
        <f t="shared" si="4"/>
        <v>0</v>
      </c>
      <c r="D274" s="195">
        <f>IRR($C$14:C274,D273)</f>
        <v>2.5626063561522638E-2</v>
      </c>
    </row>
    <row r="275" spans="2:4" x14ac:dyDescent="0.25">
      <c r="B275" s="174">
        <v>261</v>
      </c>
      <c r="C275" s="182">
        <f t="shared" si="4"/>
        <v>52</v>
      </c>
      <c r="D275" s="195">
        <f>IRR($C$14:C275,D274)</f>
        <v>2.5627860818655313E-2</v>
      </c>
    </row>
    <row r="276" spans="2:4" x14ac:dyDescent="0.25">
      <c r="B276" s="174">
        <v>262</v>
      </c>
      <c r="C276" s="182">
        <f t="shared" si="4"/>
        <v>0</v>
      </c>
      <c r="D276" s="195">
        <f>IRR($C$14:C276,D275)</f>
        <v>2.5627860818662418E-2</v>
      </c>
    </row>
    <row r="277" spans="2:4" x14ac:dyDescent="0.25">
      <c r="B277" s="174">
        <v>263</v>
      </c>
      <c r="C277" s="182">
        <f t="shared" si="4"/>
        <v>52</v>
      </c>
      <c r="D277" s="195">
        <f>IRR($C$14:C277,D276)</f>
        <v>2.5629568077999876E-2</v>
      </c>
    </row>
    <row r="278" spans="2:4" x14ac:dyDescent="0.25">
      <c r="B278" s="174">
        <v>264</v>
      </c>
      <c r="C278" s="182">
        <f t="shared" si="4"/>
        <v>0</v>
      </c>
      <c r="D278" s="195">
        <f>IRR($C$14:C278,D277)</f>
        <v>2.5629568078006315E-2</v>
      </c>
    </row>
    <row r="279" spans="2:4" x14ac:dyDescent="0.25">
      <c r="B279" s="174">
        <v>265</v>
      </c>
      <c r="C279" s="182">
        <f t="shared" si="4"/>
        <v>52</v>
      </c>
      <c r="D279" s="195">
        <f>IRR($C$14:C279,D278)</f>
        <v>2.5631189892370898E-2</v>
      </c>
    </row>
    <row r="280" spans="2:4" x14ac:dyDescent="0.25">
      <c r="B280" s="174">
        <v>266</v>
      </c>
      <c r="C280" s="182">
        <f t="shared" si="4"/>
        <v>0</v>
      </c>
      <c r="D280" s="195">
        <f>IRR($C$14:C280,D279)</f>
        <v>2.5631189892376671E-2</v>
      </c>
    </row>
    <row r="281" spans="2:4" x14ac:dyDescent="0.25">
      <c r="B281" s="174">
        <v>267</v>
      </c>
      <c r="C281" s="182">
        <f t="shared" si="4"/>
        <v>52</v>
      </c>
      <c r="D281" s="195">
        <f>IRR($C$14:C281,D280)</f>
        <v>2.5632730580245955E-2</v>
      </c>
    </row>
    <row r="282" spans="2:4" x14ac:dyDescent="0.25">
      <c r="B282" s="174">
        <v>268</v>
      </c>
      <c r="C282" s="182">
        <f t="shared" si="4"/>
        <v>0</v>
      </c>
      <c r="D282" s="195">
        <f>IRR($C$14:C282,D281)</f>
        <v>2.5632730580251062E-2</v>
      </c>
    </row>
    <row r="283" spans="2:4" x14ac:dyDescent="0.25">
      <c r="B283" s="174">
        <v>269</v>
      </c>
      <c r="C283" s="182">
        <f t="shared" si="4"/>
        <v>52</v>
      </c>
      <c r="D283" s="195">
        <f>IRR($C$14:C283,D282)</f>
        <v>2.5634194238166597E-2</v>
      </c>
    </row>
    <row r="284" spans="2:4" x14ac:dyDescent="0.25">
      <c r="B284" s="174">
        <v>270</v>
      </c>
      <c r="C284" s="182">
        <f t="shared" si="4"/>
        <v>0</v>
      </c>
      <c r="D284" s="195">
        <f>IRR($C$14:C284,D283)</f>
        <v>2.5634194238171704E-2</v>
      </c>
    </row>
    <row r="285" spans="2:4" x14ac:dyDescent="0.25">
      <c r="B285" s="174">
        <v>271</v>
      </c>
      <c r="C285" s="182">
        <f t="shared" si="4"/>
        <v>52</v>
      </c>
      <c r="D285" s="195">
        <f>IRR($C$14:C285,D284)</f>
        <v>2.5635584752463636E-2</v>
      </c>
    </row>
    <row r="286" spans="2:4" x14ac:dyDescent="0.25">
      <c r="B286" s="174">
        <v>272</v>
      </c>
      <c r="C286" s="182">
        <f t="shared" si="4"/>
        <v>0</v>
      </c>
      <c r="D286" s="195">
        <f>IRR($C$14:C286,D285)</f>
        <v>2.5635584752467633E-2</v>
      </c>
    </row>
    <row r="287" spans="2:4" x14ac:dyDescent="0.25">
      <c r="B287" s="174">
        <v>273</v>
      </c>
      <c r="C287" s="182">
        <f t="shared" si="4"/>
        <v>52</v>
      </c>
      <c r="D287" s="195">
        <f>IRR($C$14:C287,D286)</f>
        <v>2.5636905810329624E-2</v>
      </c>
    </row>
    <row r="288" spans="2:4" x14ac:dyDescent="0.25">
      <c r="B288" s="174">
        <v>274</v>
      </c>
      <c r="C288" s="182">
        <f t="shared" si="4"/>
        <v>0</v>
      </c>
      <c r="D288" s="195">
        <f>IRR($C$14:C288,D287)</f>
        <v>2.5636905810333399E-2</v>
      </c>
    </row>
    <row r="289" spans="2:4" x14ac:dyDescent="0.25">
      <c r="B289" s="174">
        <v>275</v>
      </c>
      <c r="C289" s="182">
        <f t="shared" si="4"/>
        <v>52</v>
      </c>
      <c r="D289" s="195">
        <f>IRR($C$14:C289,D288)</f>
        <v>2.5638160910291585E-2</v>
      </c>
    </row>
    <row r="290" spans="2:4" x14ac:dyDescent="0.25">
      <c r="B290" s="174">
        <v>276</v>
      </c>
      <c r="C290" s="182">
        <f t="shared" si="4"/>
        <v>0</v>
      </c>
      <c r="D290" s="195">
        <f>IRR($C$14:C290,D289)</f>
        <v>2.5638160910295138E-2</v>
      </c>
    </row>
    <row r="291" spans="2:4" x14ac:dyDescent="0.25">
      <c r="B291" s="174">
        <v>277</v>
      </c>
      <c r="C291" s="182">
        <f t="shared" si="4"/>
        <v>52</v>
      </c>
      <c r="D291" s="195">
        <f>IRR($C$14:C291,D290)</f>
        <v>2.5639353372104434E-2</v>
      </c>
    </row>
    <row r="292" spans="2:4" x14ac:dyDescent="0.25">
      <c r="B292" s="174">
        <v>278</v>
      </c>
      <c r="C292" s="182">
        <f t="shared" si="4"/>
        <v>0</v>
      </c>
      <c r="D292" s="195">
        <f>IRR($C$14:C292,D291)</f>
        <v>2.5639353372107543E-2</v>
      </c>
    </row>
    <row r="293" spans="2:4" x14ac:dyDescent="0.25">
      <c r="B293" s="174">
        <v>279</v>
      </c>
      <c r="C293" s="182">
        <f t="shared" si="4"/>
        <v>52</v>
      </c>
      <c r="D293" s="195">
        <f>IRR($C$14:C293,D292)</f>
        <v>2.5640486346106162E-2</v>
      </c>
    </row>
    <row r="294" spans="2:4" x14ac:dyDescent="0.25">
      <c r="B294" s="174">
        <v>280</v>
      </c>
      <c r="C294" s="182">
        <f t="shared" si="4"/>
        <v>0</v>
      </c>
      <c r="D294" s="195">
        <f>IRR($C$14:C294,D293)</f>
        <v>2.564048634610927E-2</v>
      </c>
    </row>
    <row r="295" spans="2:4" x14ac:dyDescent="0.25">
      <c r="B295" s="174">
        <v>281</v>
      </c>
      <c r="C295" s="182">
        <f t="shared" si="4"/>
        <v>52</v>
      </c>
      <c r="D295" s="195">
        <f>IRR($C$14:C295,D294)</f>
        <v>2.5641562822067643E-2</v>
      </c>
    </row>
    <row r="296" spans="2:4" x14ac:dyDescent="0.25">
      <c r="B296" s="174">
        <v>282</v>
      </c>
      <c r="C296" s="182">
        <f t="shared" si="4"/>
        <v>0</v>
      </c>
      <c r="D296" s="195">
        <f>IRR($C$14:C296,D295)</f>
        <v>2.5641562822070307E-2</v>
      </c>
    </row>
    <row r="297" spans="2:4" x14ac:dyDescent="0.25">
      <c r="B297" s="174">
        <v>283</v>
      </c>
      <c r="C297" s="182">
        <f t="shared" si="4"/>
        <v>52</v>
      </c>
      <c r="D297" s="195">
        <f>IRR($C$14:C297,D296)</f>
        <v>2.564258563755839E-2</v>
      </c>
    </row>
    <row r="298" spans="2:4" x14ac:dyDescent="0.25">
      <c r="B298" s="174">
        <v>284</v>
      </c>
      <c r="C298" s="182">
        <f t="shared" si="4"/>
        <v>0</v>
      </c>
      <c r="D298" s="195">
        <f>IRR($C$14:C298,D297)</f>
        <v>2.5642585637560833E-2</v>
      </c>
    </row>
    <row r="299" spans="2:4" x14ac:dyDescent="0.25">
      <c r="B299" s="174">
        <v>285</v>
      </c>
      <c r="C299" s="182">
        <f t="shared" si="4"/>
        <v>52</v>
      </c>
      <c r="D299" s="195">
        <f>IRR($C$14:C299,D298)</f>
        <v>2.5643557485863999E-2</v>
      </c>
    </row>
    <row r="300" spans="2:4" x14ac:dyDescent="0.25">
      <c r="B300" s="174">
        <v>286</v>
      </c>
      <c r="C300" s="182">
        <f t="shared" si="4"/>
        <v>0</v>
      </c>
      <c r="D300" s="195">
        <f>IRR($C$14:C300,D299)</f>
        <v>2.564355748586622E-2</v>
      </c>
    </row>
    <row r="301" spans="2:4" x14ac:dyDescent="0.25">
      <c r="B301" s="174">
        <v>287</v>
      </c>
      <c r="C301" s="182">
        <f t="shared" si="4"/>
        <v>52</v>
      </c>
      <c r="D301" s="195">
        <f>IRR($C$14:C301,D300)</f>
        <v>2.564448092347682E-2</v>
      </c>
    </row>
    <row r="302" spans="2:4" x14ac:dyDescent="0.25">
      <c r="B302" s="174">
        <v>288</v>
      </c>
      <c r="C302" s="182">
        <f t="shared" si="4"/>
        <v>0</v>
      </c>
      <c r="D302" s="195">
        <f>IRR($C$14:C302,D301)</f>
        <v>2.5644480923478596E-2</v>
      </c>
    </row>
    <row r="303" spans="2:4" x14ac:dyDescent="0.25">
      <c r="B303" s="174">
        <v>289</v>
      </c>
      <c r="C303" s="182">
        <f t="shared" si="4"/>
        <v>52</v>
      </c>
      <c r="D303" s="195">
        <f>IRR($C$14:C303,D302)</f>
        <v>2.5645358377182292E-2</v>
      </c>
    </row>
    <row r="304" spans="2:4" x14ac:dyDescent="0.25">
      <c r="B304" s="174">
        <v>290</v>
      </c>
      <c r="C304" s="182">
        <f t="shared" si="4"/>
        <v>0</v>
      </c>
      <c r="D304" s="195">
        <f>IRR($C$14:C304,D303)</f>
        <v>2.5645358377184069E-2</v>
      </c>
    </row>
    <row r="305" spans="2:4" x14ac:dyDescent="0.25">
      <c r="B305" s="174">
        <v>291</v>
      </c>
      <c r="C305" s="182">
        <f t="shared" si="4"/>
        <v>52</v>
      </c>
      <c r="D305" s="195">
        <f>IRR($C$14:C305,D304)</f>
        <v>2.5646192150769798E-2</v>
      </c>
    </row>
    <row r="306" spans="2:4" x14ac:dyDescent="0.25">
      <c r="B306" s="174">
        <v>292</v>
      </c>
      <c r="C306" s="182">
        <f t="shared" si="4"/>
        <v>0</v>
      </c>
      <c r="D306" s="195">
        <f>IRR($C$14:C306,D305)</f>
        <v>2.5646192150771352E-2</v>
      </c>
    </row>
    <row r="307" spans="2:4" x14ac:dyDescent="0.25">
      <c r="B307" s="174">
        <v>293</v>
      </c>
      <c r="C307" s="182">
        <f t="shared" si="4"/>
        <v>52</v>
      </c>
      <c r="D307" s="195">
        <f>IRR($C$14:C307,D306)</f>
        <v>2.5646984431382691E-2</v>
      </c>
    </row>
    <row r="308" spans="2:4" x14ac:dyDescent="0.25">
      <c r="B308" s="174">
        <v>294</v>
      </c>
      <c r="C308" s="182">
        <f t="shared" si="4"/>
        <v>0</v>
      </c>
      <c r="D308" s="195">
        <f>IRR($C$14:C308,D307)</f>
        <v>2.5646984431384023E-2</v>
      </c>
    </row>
    <row r="309" spans="2:4" x14ac:dyDescent="0.25">
      <c r="B309" s="174">
        <v>295</v>
      </c>
      <c r="C309" s="182">
        <f t="shared" si="4"/>
        <v>52</v>
      </c>
      <c r="D309" s="195">
        <f>IRR($C$14:C309,D308)</f>
        <v>2.5647737295530604E-2</v>
      </c>
    </row>
    <row r="310" spans="2:4" x14ac:dyDescent="0.25">
      <c r="B310" s="174">
        <v>296</v>
      </c>
      <c r="C310" s="182">
        <f t="shared" si="4"/>
        <v>0</v>
      </c>
      <c r="D310" s="195">
        <f>IRR($C$14:C310,D309)</f>
        <v>2.5647737295531936E-2</v>
      </c>
    </row>
    <row r="311" spans="2:4" x14ac:dyDescent="0.25">
      <c r="B311" s="174">
        <v>297</v>
      </c>
      <c r="C311" s="182">
        <f t="shared" si="4"/>
        <v>52</v>
      </c>
      <c r="D311" s="195">
        <f>IRR($C$14:C311,D310)</f>
        <v>2.5648452714783998E-2</v>
      </c>
    </row>
    <row r="312" spans="2:4" x14ac:dyDescent="0.25">
      <c r="B312" s="174">
        <v>298</v>
      </c>
      <c r="C312" s="182">
        <f t="shared" si="4"/>
        <v>0</v>
      </c>
      <c r="D312" s="195">
        <f>IRR($C$14:C312,D311)</f>
        <v>2.5648452714784886E-2</v>
      </c>
    </row>
    <row r="313" spans="2:4" x14ac:dyDescent="0.25">
      <c r="B313" s="174">
        <v>299</v>
      </c>
      <c r="C313" s="182">
        <f t="shared" si="4"/>
        <v>52</v>
      </c>
      <c r="D313" s="195">
        <f>IRR($C$14:C313,D312)</f>
        <v>2.5649132561165855E-2</v>
      </c>
    </row>
    <row r="314" spans="2:4" x14ac:dyDescent="0.25">
      <c r="B314" s="174">
        <v>300</v>
      </c>
      <c r="C314" s="182">
        <f t="shared" si="4"/>
        <v>0</v>
      </c>
      <c r="D314" s="195">
        <f>IRR($C$14:C314,D313)</f>
        <v>2.5649132561166743E-2</v>
      </c>
    </row>
    <row r="315" spans="2:4" x14ac:dyDescent="0.25">
      <c r="B315" s="174">
        <v>301</v>
      </c>
      <c r="C315" s="182">
        <f t="shared" si="4"/>
        <v>52</v>
      </c>
      <c r="D315" s="195">
        <f>IRR($C$14:C315,D314)</f>
        <v>2.5649778612260032E-2</v>
      </c>
    </row>
    <row r="316" spans="2:4" x14ac:dyDescent="0.25">
      <c r="B316" s="174">
        <v>302</v>
      </c>
      <c r="C316" s="182">
        <f t="shared" si="4"/>
        <v>0</v>
      </c>
      <c r="D316" s="195">
        <f>IRR($C$14:C316,D315)</f>
        <v>2.5649778612260921E-2</v>
      </c>
    </row>
    <row r="317" spans="2:4" x14ac:dyDescent="0.25">
      <c r="B317" s="174">
        <v>303</v>
      </c>
      <c r="C317" s="182">
        <f t="shared" si="4"/>
        <v>52</v>
      </c>
      <c r="D317" s="195">
        <f>IRR($C$14:C317,D316)</f>
        <v>2.5650392556048729E-2</v>
      </c>
    </row>
    <row r="318" spans="2:4" x14ac:dyDescent="0.25">
      <c r="B318" s="174">
        <v>304</v>
      </c>
      <c r="C318" s="182">
        <f t="shared" si="4"/>
        <v>0</v>
      </c>
      <c r="D318" s="195">
        <f>IRR($C$14:C318,D317)</f>
        <v>2.5650392556049617E-2</v>
      </c>
    </row>
    <row r="319" spans="2:4" x14ac:dyDescent="0.25">
      <c r="B319" s="174">
        <v>305</v>
      </c>
      <c r="C319" s="182">
        <f t="shared" si="4"/>
        <v>52</v>
      </c>
      <c r="D319" s="195">
        <f>IRR($C$14:C319,D318)</f>
        <v>2.5650975995497483E-2</v>
      </c>
    </row>
    <row r="320" spans="2:4" x14ac:dyDescent="0.25">
      <c r="B320" s="174">
        <v>306</v>
      </c>
      <c r="C320" s="182">
        <f t="shared" si="4"/>
        <v>0</v>
      </c>
      <c r="D320" s="195">
        <f>IRR($C$14:C320,D319)</f>
        <v>2.5650975995498371E-2</v>
      </c>
    </row>
    <row r="321" spans="2:4" x14ac:dyDescent="0.25">
      <c r="B321" s="174">
        <v>307</v>
      </c>
      <c r="C321" s="182">
        <f t="shared" si="4"/>
        <v>52</v>
      </c>
      <c r="D321" s="195">
        <f>IRR($C$14:C321,D320)</f>
        <v>2.5651530452898808E-2</v>
      </c>
    </row>
    <row r="322" spans="2:4" x14ac:dyDescent="0.25">
      <c r="B322" s="174">
        <v>308</v>
      </c>
      <c r="C322" s="182">
        <f t="shared" si="4"/>
        <v>0</v>
      </c>
      <c r="D322" s="195">
        <f>IRR($C$14:C322,D321)</f>
        <v>2.5651530452899474E-2</v>
      </c>
    </row>
    <row r="323" spans="2:4" x14ac:dyDescent="0.25">
      <c r="B323" s="174">
        <v>309</v>
      </c>
      <c r="C323" s="182">
        <f t="shared" si="4"/>
        <v>52</v>
      </c>
      <c r="D323" s="195">
        <f>IRR($C$14:C323,D322)</f>
        <v>2.5652057373988013E-2</v>
      </c>
    </row>
    <row r="324" spans="2:4" x14ac:dyDescent="0.25">
      <c r="B324" s="174">
        <v>310</v>
      </c>
      <c r="C324" s="182">
        <f t="shared" si="4"/>
        <v>0</v>
      </c>
      <c r="D324" s="195">
        <f>IRR($C$14:C324,D323)</f>
        <v>2.5652057373988901E-2</v>
      </c>
    </row>
    <row r="325" spans="2:4" x14ac:dyDescent="0.25">
      <c r="B325" s="174">
        <v>311</v>
      </c>
      <c r="C325" s="182">
        <f t="shared" si="4"/>
        <v>52</v>
      </c>
      <c r="D325" s="195">
        <f>IRR($C$14:C325,D324)</f>
        <v>2.5652558131846082E-2</v>
      </c>
    </row>
    <row r="326" spans="2:4" x14ac:dyDescent="0.25">
      <c r="B326" s="174">
        <v>312</v>
      </c>
      <c r="C326" s="182">
        <f t="shared" si="4"/>
        <v>0</v>
      </c>
      <c r="D326" s="195">
        <f>IRR($C$14:C326,D325)</f>
        <v>2.5652558131846748E-2</v>
      </c>
    </row>
    <row r="327" spans="2:4" x14ac:dyDescent="0.25">
      <c r="B327" s="174">
        <v>313</v>
      </c>
      <c r="C327" s="182">
        <f t="shared" si="4"/>
        <v>52</v>
      </c>
      <c r="D327" s="195">
        <f>IRR($C$14:C327,D326)</f>
        <v>2.5653034030596489E-2</v>
      </c>
    </row>
    <row r="328" spans="2:4" x14ac:dyDescent="0.25">
      <c r="B328" s="174">
        <v>314</v>
      </c>
      <c r="C328" s="182">
        <f t="shared" si="4"/>
        <v>0</v>
      </c>
      <c r="D328" s="195">
        <f>IRR($C$14:C328,D327)</f>
        <v>2.5653034030596933E-2</v>
      </c>
    </row>
    <row r="329" spans="2:4" x14ac:dyDescent="0.25">
      <c r="B329" s="174">
        <v>315</v>
      </c>
      <c r="C329" s="182">
        <f t="shared" si="4"/>
        <v>52</v>
      </c>
      <c r="D329" s="195">
        <f>IRR($C$14:C329,D328)</f>
        <v>2.5653486308911955E-2</v>
      </c>
    </row>
    <row r="330" spans="2:4" x14ac:dyDescent="0.25">
      <c r="B330" s="174">
        <v>316</v>
      </c>
      <c r="C330" s="182">
        <f t="shared" si="4"/>
        <v>0</v>
      </c>
      <c r="D330" s="195">
        <f>IRR($C$14:C330,D329)</f>
        <v>2.5653486308912399E-2</v>
      </c>
    </row>
    <row r="331" spans="2:4" x14ac:dyDescent="0.25">
      <c r="B331" s="174">
        <v>317</v>
      </c>
      <c r="C331" s="182">
        <f t="shared" si="4"/>
        <v>52</v>
      </c>
      <c r="D331" s="195">
        <f>IRR($C$14:C331,D330)</f>
        <v>2.5653916143338895E-2</v>
      </c>
    </row>
    <row r="332" spans="2:4" x14ac:dyDescent="0.25">
      <c r="B332" s="174">
        <v>318</v>
      </c>
      <c r="C332" s="182">
        <f t="shared" si="4"/>
        <v>0</v>
      </c>
      <c r="D332" s="195">
        <f>IRR($C$14:C332,D331)</f>
        <v>2.5653916143339339E-2</v>
      </c>
    </row>
    <row r="333" spans="2:4" x14ac:dyDescent="0.25">
      <c r="B333" s="174">
        <v>319</v>
      </c>
      <c r="C333" s="182">
        <f t="shared" si="4"/>
        <v>52</v>
      </c>
      <c r="D333" s="195">
        <f>IRR($C$14:C333,D332)</f>
        <v>2.5654324651448013E-2</v>
      </c>
    </row>
    <row r="334" spans="2:4" x14ac:dyDescent="0.25">
      <c r="B334" s="174">
        <v>320</v>
      </c>
      <c r="C334" s="182">
        <f t="shared" si="4"/>
        <v>0</v>
      </c>
      <c r="D334" s="195">
        <f>IRR($C$14:C334,D333)</f>
        <v>2.5654324651448457E-2</v>
      </c>
    </row>
    <row r="335" spans="2:4" x14ac:dyDescent="0.25">
      <c r="B335" s="174">
        <v>321</v>
      </c>
      <c r="C335" s="182">
        <f t="shared" si="4"/>
        <v>52</v>
      </c>
      <c r="D335" s="195">
        <f>IRR($C$14:C335,D334)</f>
        <v>2.5654712894823906E-2</v>
      </c>
    </row>
    <row r="336" spans="2:4" x14ac:dyDescent="0.25">
      <c r="B336" s="174">
        <v>322</v>
      </c>
      <c r="C336" s="182">
        <f t="shared" si="4"/>
        <v>0</v>
      </c>
      <c r="D336" s="195">
        <f>IRR($C$14:C336,D335)</f>
        <v>2.5654712894824128E-2</v>
      </c>
    </row>
    <row r="337" spans="2:4" x14ac:dyDescent="0.25">
      <c r="B337" s="174">
        <v>323</v>
      </c>
      <c r="C337" s="182">
        <f t="shared" ref="C337:C400" si="5">IF(MOD(B337,2)=0,0,52)</f>
        <v>52</v>
      </c>
      <c r="D337" s="195">
        <f>IRR($C$14:C337,D336)</f>
        <v>2.56550818818988E-2</v>
      </c>
    </row>
    <row r="338" spans="2:4" x14ac:dyDescent="0.25">
      <c r="B338" s="174">
        <v>324</v>
      </c>
      <c r="C338" s="182">
        <f t="shared" si="5"/>
        <v>0</v>
      </c>
      <c r="D338" s="195">
        <f>IRR($C$14:C338,D337)</f>
        <v>2.5655081881899244E-2</v>
      </c>
    </row>
    <row r="339" spans="2:4" x14ac:dyDescent="0.25">
      <c r="B339" s="174">
        <v>325</v>
      </c>
      <c r="C339" s="182">
        <f t="shared" si="5"/>
        <v>52</v>
      </c>
      <c r="D339" s="195">
        <f>IRR($C$14:C339,D338)</f>
        <v>2.5655432570642178E-2</v>
      </c>
    </row>
    <row r="340" spans="2:4" x14ac:dyDescent="0.25">
      <c r="B340" s="174">
        <v>326</v>
      </c>
      <c r="C340" s="182">
        <f t="shared" si="5"/>
        <v>0</v>
      </c>
      <c r="D340" s="195">
        <f>IRR($C$14:C340,D339)</f>
        <v>2.56554325706424E-2</v>
      </c>
    </row>
    <row r="341" spans="2:4" x14ac:dyDescent="0.25">
      <c r="B341" s="174">
        <v>327</v>
      </c>
      <c r="C341" s="182">
        <f t="shared" si="5"/>
        <v>52</v>
      </c>
      <c r="D341" s="195">
        <f>IRR($C$14:C341,D340)</f>
        <v>2.5655765871109182E-2</v>
      </c>
    </row>
    <row r="342" spans="2:4" x14ac:dyDescent="0.25">
      <c r="B342" s="174">
        <v>328</v>
      </c>
      <c r="C342" s="182">
        <f t="shared" si="5"/>
        <v>0</v>
      </c>
      <c r="D342" s="195">
        <f>IRR($C$14:C342,D341)</f>
        <v>2.5655765871109404E-2</v>
      </c>
    </row>
    <row r="343" spans="2:4" x14ac:dyDescent="0.25">
      <c r="B343" s="174">
        <v>329</v>
      </c>
      <c r="C343" s="182">
        <f t="shared" si="5"/>
        <v>52</v>
      </c>
      <c r="D343" s="195">
        <f>IRR($C$14:C343,D342)</f>
        <v>2.5656082647861345E-2</v>
      </c>
    </row>
    <row r="344" spans="2:4" x14ac:dyDescent="0.25">
      <c r="B344" s="174">
        <v>330</v>
      </c>
      <c r="C344" s="182">
        <f t="shared" si="5"/>
        <v>0</v>
      </c>
      <c r="D344" s="195">
        <f>IRR($C$14:C344,D343)</f>
        <v>2.5656082647861345E-2</v>
      </c>
    </row>
    <row r="345" spans="2:4" x14ac:dyDescent="0.25">
      <c r="B345" s="174">
        <v>331</v>
      </c>
      <c r="C345" s="182">
        <f t="shared" si="5"/>
        <v>52</v>
      </c>
      <c r="D345" s="195">
        <f>IRR($C$14:C345,D344)</f>
        <v>2.5656383722259424E-2</v>
      </c>
    </row>
    <row r="346" spans="2:4" x14ac:dyDescent="0.25">
      <c r="B346" s="174">
        <v>332</v>
      </c>
      <c r="C346" s="182">
        <f t="shared" si="5"/>
        <v>0</v>
      </c>
      <c r="D346" s="195">
        <f>IRR($C$14:C346,D345)</f>
        <v>2.5656383722259868E-2</v>
      </c>
    </row>
    <row r="347" spans="2:4" x14ac:dyDescent="0.25">
      <c r="B347" s="174">
        <v>333</v>
      </c>
      <c r="C347" s="182">
        <f t="shared" si="5"/>
        <v>52</v>
      </c>
      <c r="D347" s="195">
        <f>IRR($C$14:C347,D346)</f>
        <v>2.565666987464299E-2</v>
      </c>
    </row>
    <row r="348" spans="2:4" x14ac:dyDescent="0.25">
      <c r="B348" s="174">
        <v>334</v>
      </c>
      <c r="C348" s="182">
        <f t="shared" si="5"/>
        <v>0</v>
      </c>
      <c r="D348" s="195">
        <f>IRR($C$14:C348,D347)</f>
        <v>2.5656669874643434E-2</v>
      </c>
    </row>
    <row r="349" spans="2:4" x14ac:dyDescent="0.25">
      <c r="B349" s="174">
        <v>335</v>
      </c>
      <c r="C349" s="182">
        <f t="shared" si="5"/>
        <v>52</v>
      </c>
      <c r="D349" s="195">
        <f>IRR($C$14:C349,D348)</f>
        <v>2.5656941846394998E-2</v>
      </c>
    </row>
    <row r="350" spans="2:4" x14ac:dyDescent="0.25">
      <c r="B350" s="174">
        <v>336</v>
      </c>
      <c r="C350" s="182">
        <f t="shared" si="5"/>
        <v>0</v>
      </c>
      <c r="D350" s="195">
        <f>IRR($C$14:C350,D349)</f>
        <v>2.5656941846394998E-2</v>
      </c>
    </row>
    <row r="351" spans="2:4" x14ac:dyDescent="0.25">
      <c r="B351" s="174">
        <v>337</v>
      </c>
      <c r="C351" s="182">
        <f t="shared" si="5"/>
        <v>52</v>
      </c>
      <c r="D351" s="195">
        <f>IRR($C$14:C351,D350)</f>
        <v>2.5657200341901998E-2</v>
      </c>
    </row>
    <row r="352" spans="2:4" x14ac:dyDescent="0.25">
      <c r="B352" s="174">
        <v>338</v>
      </c>
      <c r="C352" s="182">
        <f t="shared" si="5"/>
        <v>0</v>
      </c>
      <c r="D352" s="195">
        <f>IRR($C$14:C352,D351)</f>
        <v>2.565720034190222E-2</v>
      </c>
    </row>
    <row r="353" spans="2:4" x14ac:dyDescent="0.25">
      <c r="B353" s="174">
        <v>339</v>
      </c>
      <c r="C353" s="182">
        <f t="shared" si="5"/>
        <v>52</v>
      </c>
      <c r="D353" s="195">
        <f>IRR($C$14:C353,D352)</f>
        <v>2.5657446030415754E-2</v>
      </c>
    </row>
    <row r="354" spans="2:4" x14ac:dyDescent="0.25">
      <c r="B354" s="174">
        <v>340</v>
      </c>
      <c r="C354" s="182">
        <f t="shared" si="5"/>
        <v>0</v>
      </c>
      <c r="D354" s="195">
        <f>IRR($C$14:C354,D353)</f>
        <v>2.5657446030415976E-2</v>
      </c>
    </row>
    <row r="355" spans="2:4" x14ac:dyDescent="0.25">
      <c r="B355" s="174">
        <v>341</v>
      </c>
      <c r="C355" s="182">
        <f t="shared" si="5"/>
        <v>52</v>
      </c>
      <c r="D355" s="195">
        <f>IRR($C$14:C355,D354)</f>
        <v>2.5657679547817835E-2</v>
      </c>
    </row>
    <row r="356" spans="2:4" x14ac:dyDescent="0.25">
      <c r="B356" s="174">
        <v>342</v>
      </c>
      <c r="C356" s="182">
        <f t="shared" si="5"/>
        <v>0</v>
      </c>
      <c r="D356" s="195">
        <f>IRR($C$14:C356,D355)</f>
        <v>2.5657679547818057E-2</v>
      </c>
    </row>
    <row r="357" spans="2:4" x14ac:dyDescent="0.25">
      <c r="B357" s="174">
        <v>343</v>
      </c>
      <c r="C357" s="182">
        <f t="shared" si="5"/>
        <v>52</v>
      </c>
      <c r="D357" s="195">
        <f>IRR($C$14:C357,D356)</f>
        <v>2.565790149829561E-2</v>
      </c>
    </row>
    <row r="358" spans="2:4" x14ac:dyDescent="0.25">
      <c r="B358" s="174">
        <v>344</v>
      </c>
      <c r="C358" s="182">
        <f t="shared" si="5"/>
        <v>0</v>
      </c>
      <c r="D358" s="195">
        <f>IRR($C$14:C358,D357)</f>
        <v>2.565790149829561E-2</v>
      </c>
    </row>
    <row r="359" spans="2:4" x14ac:dyDescent="0.25">
      <c r="B359" s="174">
        <v>345</v>
      </c>
      <c r="C359" s="182">
        <f t="shared" si="5"/>
        <v>52</v>
      </c>
      <c r="D359" s="195">
        <f>IRR($C$14:C359,D358)</f>
        <v>2.5658112455932747E-2</v>
      </c>
    </row>
    <row r="360" spans="2:4" x14ac:dyDescent="0.25">
      <c r="B360" s="174">
        <v>346</v>
      </c>
      <c r="C360" s="182">
        <f t="shared" si="5"/>
        <v>0</v>
      </c>
      <c r="D360" s="195">
        <f>IRR($C$14:C360,D359)</f>
        <v>2.5658112455932747E-2</v>
      </c>
    </row>
    <row r="361" spans="2:4" x14ac:dyDescent="0.25">
      <c r="B361" s="174">
        <v>347</v>
      </c>
      <c r="C361" s="182">
        <f t="shared" si="5"/>
        <v>52</v>
      </c>
      <c r="D361" s="195">
        <f>IRR($C$14:C361,D360)</f>
        <v>2.5658312966218899E-2</v>
      </c>
    </row>
    <row r="362" spans="2:4" x14ac:dyDescent="0.25">
      <c r="B362" s="174">
        <v>348</v>
      </c>
      <c r="C362" s="182">
        <f t="shared" si="5"/>
        <v>0</v>
      </c>
      <c r="D362" s="195">
        <f>IRR($C$14:C362,D361)</f>
        <v>2.5658312966219121E-2</v>
      </c>
    </row>
    <row r="363" spans="2:4" x14ac:dyDescent="0.25">
      <c r="B363" s="174">
        <v>349</v>
      </c>
      <c r="C363" s="182">
        <f t="shared" si="5"/>
        <v>52</v>
      </c>
      <c r="D363" s="195">
        <f>IRR($C$14:C363,D362)</f>
        <v>2.5658503547483669E-2</v>
      </c>
    </row>
    <row r="364" spans="2:4" x14ac:dyDescent="0.25">
      <c r="B364" s="174">
        <v>350</v>
      </c>
      <c r="C364" s="182">
        <f t="shared" si="5"/>
        <v>0</v>
      </c>
      <c r="D364" s="195">
        <f>IRR($C$14:C364,D363)</f>
        <v>2.5658503547483891E-2</v>
      </c>
    </row>
    <row r="365" spans="2:4" x14ac:dyDescent="0.25">
      <c r="B365" s="174">
        <v>351</v>
      </c>
      <c r="C365" s="182">
        <f t="shared" si="5"/>
        <v>52</v>
      </c>
      <c r="D365" s="195">
        <f>IRR($C$14:C365,D364)</f>
        <v>2.5658684692256184E-2</v>
      </c>
    </row>
    <row r="366" spans="2:4" x14ac:dyDescent="0.25">
      <c r="B366" s="174">
        <v>352</v>
      </c>
      <c r="C366" s="182">
        <f t="shared" si="5"/>
        <v>0</v>
      </c>
      <c r="D366" s="195">
        <f>IRR($C$14:C366,D365)</f>
        <v>2.5658684692256406E-2</v>
      </c>
    </row>
    <row r="367" spans="2:4" x14ac:dyDescent="0.25">
      <c r="B367" s="174">
        <v>353</v>
      </c>
      <c r="C367" s="182">
        <f t="shared" si="5"/>
        <v>52</v>
      </c>
      <c r="D367" s="195">
        <f>IRR($C$14:C367,D366)</f>
        <v>2.5658856868556512E-2</v>
      </c>
    </row>
    <row r="368" spans="2:4" x14ac:dyDescent="0.25">
      <c r="B368" s="174">
        <v>354</v>
      </c>
      <c r="C368" s="182">
        <f t="shared" si="5"/>
        <v>0</v>
      </c>
      <c r="D368" s="195">
        <f>IRR($C$14:C368,D367)</f>
        <v>2.5658856868556512E-2</v>
      </c>
    </row>
    <row r="369" spans="2:4" x14ac:dyDescent="0.25">
      <c r="B369" s="174">
        <v>355</v>
      </c>
      <c r="C369" s="182">
        <f t="shared" si="5"/>
        <v>52</v>
      </c>
      <c r="D369" s="195">
        <f>IRR($C$14:C369,D368)</f>
        <v>2.5659020521123566E-2</v>
      </c>
    </row>
    <row r="370" spans="2:4" x14ac:dyDescent="0.25">
      <c r="B370" s="174">
        <v>356</v>
      </c>
      <c r="C370" s="182">
        <f t="shared" si="5"/>
        <v>0</v>
      </c>
      <c r="D370" s="195">
        <f>IRR($C$14:C370,D369)</f>
        <v>2.5659020521123788E-2</v>
      </c>
    </row>
    <row r="371" spans="2:4" x14ac:dyDescent="0.25">
      <c r="B371" s="174">
        <v>357</v>
      </c>
      <c r="C371" s="182">
        <f t="shared" si="5"/>
        <v>52</v>
      </c>
      <c r="D371" s="195">
        <f>IRR($C$14:C371,D370)</f>
        <v>2.5659176072577727E-2</v>
      </c>
    </row>
    <row r="372" spans="2:4" x14ac:dyDescent="0.25">
      <c r="B372" s="174">
        <v>358</v>
      </c>
      <c r="C372" s="182">
        <f t="shared" si="5"/>
        <v>0</v>
      </c>
      <c r="D372" s="195">
        <f>IRR($C$14:C372,D371)</f>
        <v>2.5659176072577949E-2</v>
      </c>
    </row>
    <row r="373" spans="2:4" x14ac:dyDescent="0.25">
      <c r="B373" s="174">
        <v>359</v>
      </c>
      <c r="C373" s="182">
        <f t="shared" si="5"/>
        <v>52</v>
      </c>
      <c r="D373" s="195">
        <f>IRR($C$14:C373,D372)</f>
        <v>2.5659323924528188E-2</v>
      </c>
    </row>
    <row r="374" spans="2:4" x14ac:dyDescent="0.25">
      <c r="B374" s="174">
        <v>360</v>
      </c>
      <c r="C374" s="182">
        <f t="shared" si="5"/>
        <v>0</v>
      </c>
      <c r="D374" s="195">
        <f>IRR($C$14:C374,D373)</f>
        <v>2.5659323924528188E-2</v>
      </c>
    </row>
    <row r="375" spans="2:4" x14ac:dyDescent="0.25">
      <c r="B375" s="174">
        <v>361</v>
      </c>
      <c r="C375" s="182">
        <f t="shared" si="5"/>
        <v>52</v>
      </c>
      <c r="D375" s="195">
        <f>IRR($C$14:C375,D374)</f>
        <v>2.5659464458620995E-2</v>
      </c>
    </row>
    <row r="376" spans="2:4" x14ac:dyDescent="0.25">
      <c r="B376" s="174">
        <v>362</v>
      </c>
      <c r="C376" s="182">
        <f t="shared" si="5"/>
        <v>0</v>
      </c>
      <c r="D376" s="195">
        <f>IRR($C$14:C376,D375)</f>
        <v>2.5659464458620995E-2</v>
      </c>
    </row>
    <row r="377" spans="2:4" x14ac:dyDescent="0.25">
      <c r="B377" s="174">
        <v>363</v>
      </c>
      <c r="C377" s="182">
        <f t="shared" si="5"/>
        <v>52</v>
      </c>
      <c r="D377" s="195">
        <f>IRR($C$14:C377,D376)</f>
        <v>2.5659598037537146E-2</v>
      </c>
    </row>
    <row r="378" spans="2:4" x14ac:dyDescent="0.25">
      <c r="B378" s="174">
        <v>364</v>
      </c>
      <c r="C378" s="182">
        <f t="shared" si="5"/>
        <v>0</v>
      </c>
      <c r="D378" s="195">
        <f>IRR($C$14:C378,D377)</f>
        <v>2.5659598037537146E-2</v>
      </c>
    </row>
    <row r="379" spans="2:4" x14ac:dyDescent="0.25">
      <c r="B379" s="174">
        <v>365</v>
      </c>
      <c r="C379" s="182">
        <f t="shared" si="5"/>
        <v>52</v>
      </c>
      <c r="D379" s="195">
        <f>IRR($C$14:C379,D378)</f>
        <v>2.5659725005939382E-2</v>
      </c>
    </row>
    <row r="380" spans="2:4" x14ac:dyDescent="0.25">
      <c r="B380" s="174">
        <v>366</v>
      </c>
      <c r="C380" s="182">
        <f t="shared" si="5"/>
        <v>0</v>
      </c>
      <c r="D380" s="195">
        <f>IRR($C$14:C380,D379)</f>
        <v>2.5659725005939604E-2</v>
      </c>
    </row>
    <row r="381" spans="2:4" x14ac:dyDescent="0.25">
      <c r="B381" s="174">
        <v>367</v>
      </c>
      <c r="C381" s="182">
        <f t="shared" si="5"/>
        <v>52</v>
      </c>
      <c r="D381" s="195">
        <f>IRR($C$14:C381,D380)</f>
        <v>2.5659845691370808E-2</v>
      </c>
    </row>
    <row r="382" spans="2:4" x14ac:dyDescent="0.25">
      <c r="B382" s="174">
        <v>368</v>
      </c>
      <c r="C382" s="182">
        <f t="shared" si="5"/>
        <v>0</v>
      </c>
      <c r="D382" s="195">
        <f>IRR($C$14:C382,D381)</f>
        <v>2.5659845691370808E-2</v>
      </c>
    </row>
    <row r="383" spans="2:4" x14ac:dyDescent="0.25">
      <c r="B383" s="174">
        <v>369</v>
      </c>
      <c r="C383" s="182">
        <f t="shared" si="5"/>
        <v>52</v>
      </c>
      <c r="D383" s="195">
        <f>IRR($C$14:C383,D382)</f>
        <v>2.5659960405108428E-2</v>
      </c>
    </row>
    <row r="384" spans="2:4" x14ac:dyDescent="0.25">
      <c r="B384" s="174">
        <v>370</v>
      </c>
      <c r="C384" s="182">
        <f t="shared" si="5"/>
        <v>0</v>
      </c>
      <c r="D384" s="195">
        <f>IRR($C$14:C384,D383)</f>
        <v>2.5659960405108428E-2</v>
      </c>
    </row>
    <row r="385" spans="2:4" x14ac:dyDescent="0.25">
      <c r="B385" s="174">
        <v>371</v>
      </c>
      <c r="C385" s="182">
        <f t="shared" si="5"/>
        <v>52</v>
      </c>
      <c r="D385" s="195">
        <f>IRR($C$14:C385,D384)</f>
        <v>2.5660069442975164E-2</v>
      </c>
    </row>
    <row r="386" spans="2:4" x14ac:dyDescent="0.25">
      <c r="B386" s="174">
        <v>372</v>
      </c>
      <c r="C386" s="182">
        <f t="shared" si="5"/>
        <v>0</v>
      </c>
      <c r="D386" s="195">
        <f>IRR($C$14:C386,D385)</f>
        <v>2.5660069442975386E-2</v>
      </c>
    </row>
    <row r="387" spans="2:4" x14ac:dyDescent="0.25">
      <c r="B387" s="174">
        <v>373</v>
      </c>
      <c r="C387" s="182">
        <f t="shared" si="5"/>
        <v>52</v>
      </c>
      <c r="D387" s="195">
        <f>IRR($C$14:C387,D386)</f>
        <v>2.5660173086109683E-2</v>
      </c>
    </row>
    <row r="388" spans="2:4" x14ac:dyDescent="0.25">
      <c r="B388" s="174">
        <v>374</v>
      </c>
      <c r="C388" s="182">
        <f t="shared" si="5"/>
        <v>0</v>
      </c>
      <c r="D388" s="195">
        <f>IRR($C$14:C388,D387)</f>
        <v>2.5660173086109683E-2</v>
      </c>
    </row>
    <row r="389" spans="2:4" x14ac:dyDescent="0.25">
      <c r="B389" s="174">
        <v>375</v>
      </c>
      <c r="C389" s="182">
        <f t="shared" si="5"/>
        <v>52</v>
      </c>
      <c r="D389" s="195">
        <f>IRR($C$14:C389,D388)</f>
        <v>2.5660271601697149E-2</v>
      </c>
    </row>
    <row r="390" spans="2:4" x14ac:dyDescent="0.25">
      <c r="B390" s="174">
        <v>376</v>
      </c>
      <c r="C390" s="182">
        <f t="shared" si="5"/>
        <v>0</v>
      </c>
      <c r="D390" s="195">
        <f>IRR($C$14:C390,D389)</f>
        <v>2.5660271601697149E-2</v>
      </c>
    </row>
    <row r="391" spans="2:4" x14ac:dyDescent="0.25">
      <c r="B391" s="174">
        <v>377</v>
      </c>
      <c r="C391" s="182">
        <f t="shared" si="5"/>
        <v>52</v>
      </c>
      <c r="D391" s="195">
        <f>IRR($C$14:C391,D390)</f>
        <v>2.566036524366555E-2</v>
      </c>
    </row>
    <row r="392" spans="2:4" x14ac:dyDescent="0.25">
      <c r="B392" s="174">
        <v>378</v>
      </c>
      <c r="C392" s="182">
        <f t="shared" si="5"/>
        <v>0</v>
      </c>
      <c r="D392" s="195">
        <f>IRR($C$14:C392,D391)</f>
        <v>2.5660365243665328E-2</v>
      </c>
    </row>
    <row r="393" spans="2:4" x14ac:dyDescent="0.25">
      <c r="B393" s="174">
        <v>379</v>
      </c>
      <c r="C393" s="182">
        <f t="shared" si="5"/>
        <v>52</v>
      </c>
      <c r="D393" s="195">
        <f>IRR($C$14:C393,D392)</f>
        <v>2.5660454253344733E-2</v>
      </c>
    </row>
    <row r="394" spans="2:4" x14ac:dyDescent="0.25">
      <c r="B394" s="174">
        <v>380</v>
      </c>
      <c r="C394" s="182">
        <f t="shared" si="5"/>
        <v>0</v>
      </c>
      <c r="D394" s="195">
        <f>IRR($C$14:C394,D393)</f>
        <v>2.5660454253344733E-2</v>
      </c>
    </row>
    <row r="395" spans="2:4" x14ac:dyDescent="0.25">
      <c r="B395" s="174">
        <v>381</v>
      </c>
      <c r="C395" s="182">
        <f t="shared" si="5"/>
        <v>52</v>
      </c>
      <c r="D395" s="195">
        <f>IRR($C$14:C395,D394)</f>
        <v>2.5660538860093896E-2</v>
      </c>
    </row>
    <row r="396" spans="2:4" x14ac:dyDescent="0.25">
      <c r="B396" s="174">
        <v>382</v>
      </c>
      <c r="C396" s="182">
        <f t="shared" si="5"/>
        <v>0</v>
      </c>
      <c r="D396" s="195">
        <f>IRR($C$14:C396,D395)</f>
        <v>2.5660538860094118E-2</v>
      </c>
    </row>
    <row r="397" spans="2:4" x14ac:dyDescent="0.25">
      <c r="B397" s="174">
        <v>383</v>
      </c>
      <c r="C397" s="182">
        <f t="shared" si="5"/>
        <v>52</v>
      </c>
      <c r="D397" s="195">
        <f>IRR($C$14:C397,D396)</f>
        <v>2.5660619281897556E-2</v>
      </c>
    </row>
    <row r="398" spans="2:4" x14ac:dyDescent="0.25">
      <c r="B398" s="174">
        <v>384</v>
      </c>
      <c r="C398" s="182">
        <f t="shared" si="5"/>
        <v>0</v>
      </c>
      <c r="D398" s="195">
        <f>IRR($C$14:C398,D397)</f>
        <v>2.5660619281897779E-2</v>
      </c>
    </row>
    <row r="399" spans="2:4" x14ac:dyDescent="0.25">
      <c r="B399" s="174">
        <v>385</v>
      </c>
      <c r="C399" s="182">
        <f t="shared" si="5"/>
        <v>52</v>
      </c>
      <c r="D399" s="195">
        <f>IRR($C$14:C399,D398)</f>
        <v>2.5660695725930438E-2</v>
      </c>
    </row>
    <row r="400" spans="2:4" x14ac:dyDescent="0.25">
      <c r="B400" s="174">
        <v>386</v>
      </c>
      <c r="C400" s="182">
        <f t="shared" si="5"/>
        <v>0</v>
      </c>
      <c r="D400" s="195">
        <f>IRR($C$14:C400,D399)</f>
        <v>2.5660695725930438E-2</v>
      </c>
    </row>
    <row r="401" spans="2:4" x14ac:dyDescent="0.25">
      <c r="B401" s="174">
        <v>387</v>
      </c>
      <c r="C401" s="182">
        <f t="shared" ref="C401:C464" si="6">IF(MOD(B401,2)=0,0,52)</f>
        <v>52</v>
      </c>
      <c r="D401" s="195">
        <f>IRR($C$14:C401,D400)</f>
        <v>2.5660768389095256E-2</v>
      </c>
    </row>
    <row r="402" spans="2:4" x14ac:dyDescent="0.25">
      <c r="B402" s="174">
        <v>388</v>
      </c>
      <c r="C402" s="182">
        <f t="shared" si="6"/>
        <v>0</v>
      </c>
      <c r="D402" s="195">
        <f>IRR($C$14:C402,D401)</f>
        <v>2.5660768389095256E-2</v>
      </c>
    </row>
    <row r="403" spans="2:4" x14ac:dyDescent="0.25">
      <c r="B403" s="174">
        <v>389</v>
      </c>
      <c r="C403" s="182">
        <f t="shared" si="6"/>
        <v>52</v>
      </c>
      <c r="D403" s="195">
        <f>IRR($C$14:C403,D402)</f>
        <v>2.5660837458534758E-2</v>
      </c>
    </row>
    <row r="404" spans="2:4" x14ac:dyDescent="0.25">
      <c r="B404" s="174">
        <v>390</v>
      </c>
      <c r="C404" s="182">
        <f t="shared" si="6"/>
        <v>0</v>
      </c>
      <c r="D404" s="195">
        <f>IRR($C$14:C404,D403)</f>
        <v>2.566083745853498E-2</v>
      </c>
    </row>
    <row r="405" spans="2:4" x14ac:dyDescent="0.25">
      <c r="B405" s="174">
        <v>391</v>
      </c>
      <c r="C405" s="182">
        <f t="shared" si="6"/>
        <v>52</v>
      </c>
      <c r="D405" s="195">
        <f>IRR($C$14:C405,D404)</f>
        <v>2.5660903112114664E-2</v>
      </c>
    </row>
    <row r="406" spans="2:4" x14ac:dyDescent="0.25">
      <c r="B406" s="174">
        <v>392</v>
      </c>
      <c r="C406" s="182">
        <f t="shared" si="6"/>
        <v>0</v>
      </c>
      <c r="D406" s="195">
        <f>IRR($C$14:C406,D405)</f>
        <v>2.5660903112114664E-2</v>
      </c>
    </row>
    <row r="407" spans="2:4" x14ac:dyDescent="0.25">
      <c r="B407" s="174">
        <v>393</v>
      </c>
      <c r="C407" s="182">
        <f t="shared" si="6"/>
        <v>52</v>
      </c>
      <c r="D407" s="195">
        <f>IRR($C$14:C407,D406)</f>
        <v>2.5660965518886414E-2</v>
      </c>
    </row>
    <row r="408" spans="2:4" x14ac:dyDescent="0.25">
      <c r="B408" s="174">
        <v>394</v>
      </c>
      <c r="C408" s="182">
        <f t="shared" si="6"/>
        <v>0</v>
      </c>
      <c r="D408" s="195">
        <f>IRR($C$14:C408,D407)</f>
        <v>2.5660965518886636E-2</v>
      </c>
    </row>
    <row r="409" spans="2:4" x14ac:dyDescent="0.25">
      <c r="B409" s="174">
        <v>395</v>
      </c>
      <c r="C409" s="182">
        <f t="shared" si="6"/>
        <v>52</v>
      </c>
      <c r="D409" s="195">
        <f>IRR($C$14:C409,D408)</f>
        <v>2.5661024839524149E-2</v>
      </c>
    </row>
    <row r="410" spans="2:4" x14ac:dyDescent="0.25">
      <c r="B410" s="174">
        <v>396</v>
      </c>
      <c r="C410" s="182">
        <f t="shared" si="6"/>
        <v>0</v>
      </c>
      <c r="D410" s="195">
        <f>IRR($C$14:C410,D409)</f>
        <v>2.5661024839524371E-2</v>
      </c>
    </row>
    <row r="411" spans="2:4" x14ac:dyDescent="0.25">
      <c r="B411" s="174">
        <v>397</v>
      </c>
      <c r="C411" s="182">
        <f t="shared" si="6"/>
        <v>52</v>
      </c>
      <c r="D411" s="195">
        <f>IRR($C$14:C411,D410)</f>
        <v>2.5661081226740823E-2</v>
      </c>
    </row>
    <row r="412" spans="2:4" x14ac:dyDescent="0.25">
      <c r="B412" s="174">
        <v>398</v>
      </c>
      <c r="C412" s="182">
        <f t="shared" si="6"/>
        <v>0</v>
      </c>
      <c r="D412" s="195">
        <f>IRR($C$14:C412,D411)</f>
        <v>2.5661081226741045E-2</v>
      </c>
    </row>
    <row r="413" spans="2:4" x14ac:dyDescent="0.25">
      <c r="B413" s="174">
        <v>399</v>
      </c>
      <c r="C413" s="182">
        <f t="shared" si="6"/>
        <v>52</v>
      </c>
      <c r="D413" s="195">
        <f>IRR($C$14:C413,D412)</f>
        <v>2.5661134825684329E-2</v>
      </c>
    </row>
    <row r="414" spans="2:4" x14ac:dyDescent="0.25">
      <c r="B414" s="174">
        <v>400</v>
      </c>
      <c r="C414" s="182">
        <f t="shared" si="6"/>
        <v>0</v>
      </c>
      <c r="D414" s="195">
        <f>IRR($C$14:C414,D413)</f>
        <v>2.5661134825684551E-2</v>
      </c>
    </row>
    <row r="415" spans="2:4" x14ac:dyDescent="0.25">
      <c r="B415" s="174">
        <v>401</v>
      </c>
      <c r="C415" s="182">
        <f t="shared" si="6"/>
        <v>52</v>
      </c>
      <c r="D415" s="195">
        <f>IRR($C$14:C415,D414)</f>
        <v>2.566118577431209E-2</v>
      </c>
    </row>
    <row r="416" spans="2:4" x14ac:dyDescent="0.25">
      <c r="B416" s="174">
        <v>402</v>
      </c>
      <c r="C416" s="182">
        <f t="shared" si="6"/>
        <v>0</v>
      </c>
      <c r="D416" s="195">
        <f>IRR($C$14:C416,D415)</f>
        <v>2.566118577431209E-2</v>
      </c>
    </row>
    <row r="417" spans="2:4" x14ac:dyDescent="0.25">
      <c r="B417" s="174">
        <v>403</v>
      </c>
      <c r="C417" s="182">
        <f t="shared" si="6"/>
        <v>52</v>
      </c>
      <c r="D417" s="195">
        <f>IRR($C$14:C417,D416)</f>
        <v>2.5661234203748107E-2</v>
      </c>
    </row>
    <row r="418" spans="2:4" x14ac:dyDescent="0.25">
      <c r="B418" s="174">
        <v>404</v>
      </c>
      <c r="C418" s="182">
        <f t="shared" si="6"/>
        <v>0</v>
      </c>
      <c r="D418" s="195">
        <f>IRR($C$14:C418,D417)</f>
        <v>2.5661234203748107E-2</v>
      </c>
    </row>
    <row r="419" spans="2:4" x14ac:dyDescent="0.25">
      <c r="B419" s="174">
        <v>405</v>
      </c>
      <c r="C419" s="182">
        <f t="shared" si="6"/>
        <v>52</v>
      </c>
      <c r="D419" s="195">
        <f>IRR($C$14:C419,D418)</f>
        <v>2.5661280238622908E-2</v>
      </c>
    </row>
    <row r="420" spans="2:4" x14ac:dyDescent="0.25">
      <c r="B420" s="174">
        <v>406</v>
      </c>
      <c r="C420" s="182">
        <f t="shared" si="6"/>
        <v>0</v>
      </c>
      <c r="D420" s="195">
        <f>IRR($C$14:C420,D419)</f>
        <v>2.5661280238622908E-2</v>
      </c>
    </row>
    <row r="421" spans="2:4" x14ac:dyDescent="0.25">
      <c r="B421" s="174">
        <v>407</v>
      </c>
      <c r="C421" s="182">
        <f t="shared" si="6"/>
        <v>52</v>
      </c>
      <c r="D421" s="195">
        <f>IRR($C$14:C421,D420)</f>
        <v>2.5661323997394847E-2</v>
      </c>
    </row>
    <row r="422" spans="2:4" x14ac:dyDescent="0.25">
      <c r="B422" s="174">
        <v>408</v>
      </c>
      <c r="C422" s="182">
        <f t="shared" si="6"/>
        <v>0</v>
      </c>
      <c r="D422" s="195">
        <f>IRR($C$14:C422,D421)</f>
        <v>2.5661323997394847E-2</v>
      </c>
    </row>
    <row r="423" spans="2:4" x14ac:dyDescent="0.25">
      <c r="B423" s="174">
        <v>409</v>
      </c>
      <c r="C423" s="182">
        <f t="shared" si="6"/>
        <v>52</v>
      </c>
      <c r="D423" s="195">
        <f>IRR($C$14:C423,D422)</f>
        <v>2.5661365592656971E-2</v>
      </c>
    </row>
    <row r="424" spans="2:4" x14ac:dyDescent="0.25">
      <c r="B424" s="174">
        <v>410</v>
      </c>
      <c r="C424" s="182">
        <f t="shared" si="6"/>
        <v>0</v>
      </c>
      <c r="D424" s="195">
        <f>IRR($C$14:C424,D423)</f>
        <v>2.5661365592656971E-2</v>
      </c>
    </row>
    <row r="425" spans="2:4" x14ac:dyDescent="0.25">
      <c r="B425" s="174">
        <v>411</v>
      </c>
      <c r="C425" s="182">
        <f t="shared" si="6"/>
        <v>52</v>
      </c>
      <c r="D425" s="195">
        <f>IRR($C$14:C425,D424)</f>
        <v>2.5661405131427006E-2</v>
      </c>
    </row>
    <row r="426" spans="2:4" x14ac:dyDescent="0.25">
      <c r="B426" s="174">
        <v>412</v>
      </c>
      <c r="C426" s="182">
        <f t="shared" si="6"/>
        <v>0</v>
      </c>
      <c r="D426" s="195">
        <f>IRR($C$14:C426,D425)</f>
        <v>2.5661405131427006E-2</v>
      </c>
    </row>
    <row r="427" spans="2:4" x14ac:dyDescent="0.25">
      <c r="B427" s="174">
        <v>413</v>
      </c>
      <c r="C427" s="182">
        <f t="shared" si="6"/>
        <v>52</v>
      </c>
      <c r="D427" s="195">
        <f>IRR($C$14:C427,D426)</f>
        <v>2.5661442715425364E-2</v>
      </c>
    </row>
    <row r="428" spans="2:4" x14ac:dyDescent="0.25">
      <c r="B428" s="174">
        <v>414</v>
      </c>
      <c r="C428" s="182">
        <f t="shared" si="6"/>
        <v>0</v>
      </c>
      <c r="D428" s="195">
        <f>IRR($C$14:C428,D427)</f>
        <v>2.5661442715425142E-2</v>
      </c>
    </row>
    <row r="429" spans="2:4" x14ac:dyDescent="0.25">
      <c r="B429" s="174">
        <v>415</v>
      </c>
      <c r="C429" s="182">
        <f t="shared" si="6"/>
        <v>52</v>
      </c>
      <c r="D429" s="195">
        <f>IRR($C$14:C429,D428)</f>
        <v>2.5661478441336039E-2</v>
      </c>
    </row>
    <row r="430" spans="2:4" x14ac:dyDescent="0.25">
      <c r="B430" s="174">
        <v>416</v>
      </c>
      <c r="C430" s="182">
        <f t="shared" si="6"/>
        <v>0</v>
      </c>
      <c r="D430" s="195">
        <f>IRR($C$14:C430,D429)</f>
        <v>2.5661478441335817E-2</v>
      </c>
    </row>
    <row r="431" spans="2:4" x14ac:dyDescent="0.25">
      <c r="B431" s="174">
        <v>417</v>
      </c>
      <c r="C431" s="182">
        <f t="shared" si="6"/>
        <v>52</v>
      </c>
      <c r="D431" s="195">
        <f>IRR($C$14:C431,D430)</f>
        <v>2.5661512401057518E-2</v>
      </c>
    </row>
    <row r="432" spans="2:4" x14ac:dyDescent="0.25">
      <c r="B432" s="174">
        <v>418</v>
      </c>
      <c r="C432" s="182">
        <f t="shared" si="6"/>
        <v>0</v>
      </c>
      <c r="D432" s="195">
        <f>IRR($C$14:C432,D431)</f>
        <v>2.566151240105774E-2</v>
      </c>
    </row>
    <row r="433" spans="2:4" x14ac:dyDescent="0.25">
      <c r="B433" s="174">
        <v>419</v>
      </c>
      <c r="C433" s="182">
        <f t="shared" si="6"/>
        <v>52</v>
      </c>
      <c r="D433" s="195">
        <f>IRR($C$14:C433,D432)</f>
        <v>2.5661544681940152E-2</v>
      </c>
    </row>
    <row r="434" spans="2:4" x14ac:dyDescent="0.25">
      <c r="B434" s="174">
        <v>420</v>
      </c>
      <c r="C434" s="182">
        <f t="shared" si="6"/>
        <v>0</v>
      </c>
      <c r="D434" s="195">
        <f>IRR($C$14:C434,D433)</f>
        <v>2.5661544681940152E-2</v>
      </c>
    </row>
    <row r="435" spans="2:4" x14ac:dyDescent="0.25">
      <c r="B435" s="174">
        <v>421</v>
      </c>
      <c r="C435" s="182">
        <f t="shared" si="6"/>
        <v>52</v>
      </c>
      <c r="D435" s="195">
        <f>IRR($C$14:C435,D434)</f>
        <v>2.5661575367010414E-2</v>
      </c>
    </row>
    <row r="436" spans="2:4" x14ac:dyDescent="0.25">
      <c r="B436" s="174">
        <v>422</v>
      </c>
      <c r="C436" s="182">
        <f t="shared" si="6"/>
        <v>0</v>
      </c>
      <c r="D436" s="195">
        <f>IRR($C$14:C436,D435)</f>
        <v>2.5661575367010192E-2</v>
      </c>
    </row>
    <row r="437" spans="2:4" x14ac:dyDescent="0.25">
      <c r="B437" s="174">
        <v>423</v>
      </c>
      <c r="C437" s="182">
        <f t="shared" si="6"/>
        <v>52</v>
      </c>
      <c r="D437" s="195">
        <f>IRR($C$14:C437,D436)</f>
        <v>2.5661604535186067E-2</v>
      </c>
    </row>
    <row r="438" spans="2:4" x14ac:dyDescent="0.25">
      <c r="B438" s="174">
        <v>424</v>
      </c>
      <c r="C438" s="182">
        <f t="shared" si="6"/>
        <v>0</v>
      </c>
      <c r="D438" s="195">
        <f>IRR($C$14:C438,D437)</f>
        <v>2.5661604535186067E-2</v>
      </c>
    </row>
    <row r="439" spans="2:4" x14ac:dyDescent="0.25">
      <c r="B439" s="174">
        <v>425</v>
      </c>
      <c r="C439" s="182">
        <f t="shared" si="6"/>
        <v>52</v>
      </c>
      <c r="D439" s="195">
        <f>IRR($C$14:C439,D438)</f>
        <v>2.566163226147955E-2</v>
      </c>
    </row>
    <row r="440" spans="2:4" x14ac:dyDescent="0.25">
      <c r="B440" s="174">
        <v>426</v>
      </c>
      <c r="C440" s="182">
        <f t="shared" si="6"/>
        <v>0</v>
      </c>
      <c r="D440" s="195">
        <f>IRR($C$14:C440,D439)</f>
        <v>2.5661632261479772E-2</v>
      </c>
    </row>
    <row r="441" spans="2:4" x14ac:dyDescent="0.25">
      <c r="B441" s="174">
        <v>427</v>
      </c>
      <c r="C441" s="182">
        <f t="shared" si="6"/>
        <v>52</v>
      </c>
      <c r="D441" s="195">
        <f>IRR($C$14:C441,D440)</f>
        <v>2.5661658617191829E-2</v>
      </c>
    </row>
    <row r="442" spans="2:4" x14ac:dyDescent="0.25">
      <c r="B442" s="174">
        <v>428</v>
      </c>
      <c r="C442" s="182">
        <f t="shared" si="6"/>
        <v>0</v>
      </c>
      <c r="D442" s="195">
        <f>IRR($C$14:C442,D441)</f>
        <v>2.5661658617192051E-2</v>
      </c>
    </row>
    <row r="443" spans="2:4" x14ac:dyDescent="0.25">
      <c r="B443" s="174">
        <v>429</v>
      </c>
      <c r="C443" s="182">
        <f t="shared" si="6"/>
        <v>52</v>
      </c>
      <c r="D443" s="195">
        <f>IRR($C$14:C443,D442)</f>
        <v>2.5661683670095581E-2</v>
      </c>
    </row>
    <row r="444" spans="2:4" x14ac:dyDescent="0.25">
      <c r="B444" s="174">
        <v>430</v>
      </c>
      <c r="C444" s="182">
        <f t="shared" si="6"/>
        <v>0</v>
      </c>
      <c r="D444" s="195">
        <f>IRR($C$14:C444,D443)</f>
        <v>2.5661683670095581E-2</v>
      </c>
    </row>
    <row r="445" spans="2:4" x14ac:dyDescent="0.25">
      <c r="B445" s="174">
        <v>431</v>
      </c>
      <c r="C445" s="182">
        <f t="shared" si="6"/>
        <v>52</v>
      </c>
      <c r="D445" s="195">
        <f>IRR($C$14:C445,D444)</f>
        <v>2.5661707484610163E-2</v>
      </c>
    </row>
    <row r="446" spans="2:4" x14ac:dyDescent="0.25">
      <c r="B446" s="174">
        <v>432</v>
      </c>
      <c r="C446" s="182">
        <f t="shared" si="6"/>
        <v>0</v>
      </c>
      <c r="D446" s="195">
        <f>IRR($C$14:C446,D445)</f>
        <v>2.5661707484610385E-2</v>
      </c>
    </row>
    <row r="447" spans="2:4" x14ac:dyDescent="0.25">
      <c r="B447" s="174">
        <v>433</v>
      </c>
      <c r="C447" s="182">
        <f t="shared" si="6"/>
        <v>52</v>
      </c>
      <c r="D447" s="195">
        <f>IRR($C$14:C447,D446)</f>
        <v>2.5661730121968374E-2</v>
      </c>
    </row>
    <row r="448" spans="2:4" x14ac:dyDescent="0.25">
      <c r="B448" s="174">
        <v>434</v>
      </c>
      <c r="C448" s="182">
        <f t="shared" si="6"/>
        <v>0</v>
      </c>
      <c r="D448" s="195">
        <f>IRR($C$14:C448,D447)</f>
        <v>2.5661730121968152E-2</v>
      </c>
    </row>
    <row r="449" spans="2:4" x14ac:dyDescent="0.25">
      <c r="B449" s="174">
        <v>435</v>
      </c>
      <c r="C449" s="182">
        <f t="shared" si="6"/>
        <v>52</v>
      </c>
      <c r="D449" s="195">
        <f>IRR($C$14:C449,D448)</f>
        <v>2.5661751640372987E-2</v>
      </c>
    </row>
    <row r="450" spans="2:4" x14ac:dyDescent="0.25">
      <c r="B450" s="174">
        <v>436</v>
      </c>
      <c r="C450" s="182">
        <f t="shared" si="6"/>
        <v>0</v>
      </c>
      <c r="D450" s="195">
        <f>IRR($C$14:C450,D449)</f>
        <v>2.5661751640372987E-2</v>
      </c>
    </row>
    <row r="451" spans="2:4" x14ac:dyDescent="0.25">
      <c r="B451" s="174">
        <v>437</v>
      </c>
      <c r="C451" s="182">
        <f t="shared" si="6"/>
        <v>52</v>
      </c>
      <c r="D451" s="195">
        <f>IRR($C$14:C451,D450)</f>
        <v>2.5661772095147972E-2</v>
      </c>
    </row>
    <row r="452" spans="2:4" x14ac:dyDescent="0.25">
      <c r="B452" s="174">
        <v>438</v>
      </c>
      <c r="C452" s="182">
        <f t="shared" si="6"/>
        <v>0</v>
      </c>
      <c r="D452" s="195">
        <f>IRR($C$14:C452,D451)</f>
        <v>2.5661772095148194E-2</v>
      </c>
    </row>
    <row r="453" spans="2:4" x14ac:dyDescent="0.25">
      <c r="B453" s="174">
        <v>439</v>
      </c>
      <c r="C453" s="182">
        <f t="shared" si="6"/>
        <v>52</v>
      </c>
      <c r="D453" s="195">
        <f>IRR($C$14:C453,D452)</f>
        <v>2.566179153888104E-2</v>
      </c>
    </row>
    <row r="454" spans="2:4" x14ac:dyDescent="0.25">
      <c r="B454" s="174">
        <v>440</v>
      </c>
      <c r="C454" s="182">
        <f t="shared" si="6"/>
        <v>0</v>
      </c>
      <c r="D454" s="195">
        <f>IRR($C$14:C454,D453)</f>
        <v>2.566179153888104E-2</v>
      </c>
    </row>
    <row r="455" spans="2:4" x14ac:dyDescent="0.25">
      <c r="B455" s="174">
        <v>441</v>
      </c>
      <c r="C455" s="182">
        <f t="shared" si="6"/>
        <v>52</v>
      </c>
      <c r="D455" s="195">
        <f>IRR($C$14:C455,D454)</f>
        <v>2.5661810021557763E-2</v>
      </c>
    </row>
    <row r="456" spans="2:4" x14ac:dyDescent="0.25">
      <c r="B456" s="174">
        <v>442</v>
      </c>
      <c r="C456" s="182">
        <f t="shared" si="6"/>
        <v>0</v>
      </c>
      <c r="D456" s="195">
        <f>IRR($C$14:C456,D455)</f>
        <v>2.5661810021557763E-2</v>
      </c>
    </row>
    <row r="457" spans="2:4" x14ac:dyDescent="0.25">
      <c r="B457" s="174">
        <v>443</v>
      </c>
      <c r="C457" s="182">
        <f t="shared" si="6"/>
        <v>52</v>
      </c>
      <c r="D457" s="195">
        <f>IRR($C$14:C457,D456)</f>
        <v>2.5661827590692132E-2</v>
      </c>
    </row>
    <row r="458" spans="2:4" x14ac:dyDescent="0.25">
      <c r="B458" s="174">
        <v>444</v>
      </c>
      <c r="C458" s="182">
        <f t="shared" si="6"/>
        <v>0</v>
      </c>
      <c r="D458" s="195">
        <f>IRR($C$14:C458,D457)</f>
        <v>2.566182759069191E-2</v>
      </c>
    </row>
    <row r="459" spans="2:4" x14ac:dyDescent="0.25">
      <c r="B459" s="174">
        <v>445</v>
      </c>
      <c r="C459" s="182">
        <f t="shared" si="6"/>
        <v>52</v>
      </c>
      <c r="D459" s="195">
        <f>IRR($C$14:C459,D458)</f>
        <v>2.5661844291447355E-2</v>
      </c>
    </row>
    <row r="460" spans="2:4" x14ac:dyDescent="0.25">
      <c r="B460" s="174">
        <v>446</v>
      </c>
      <c r="C460" s="182">
        <f t="shared" si="6"/>
        <v>0</v>
      </c>
      <c r="D460" s="195">
        <f>IRR($C$14:C460,D459)</f>
        <v>2.5661844291447355E-2</v>
      </c>
    </row>
    <row r="461" spans="2:4" x14ac:dyDescent="0.25">
      <c r="B461" s="174">
        <v>447</v>
      </c>
      <c r="C461" s="182">
        <f t="shared" si="6"/>
        <v>52</v>
      </c>
      <c r="D461" s="195">
        <f>IRR($C$14:C461,D460)</f>
        <v>2.5661860166753536E-2</v>
      </c>
    </row>
    <row r="462" spans="2:4" x14ac:dyDescent="0.25">
      <c r="B462" s="174">
        <v>448</v>
      </c>
      <c r="C462" s="182">
        <f t="shared" si="6"/>
        <v>0</v>
      </c>
      <c r="D462" s="195">
        <f>IRR($C$14:C462,D461)</f>
        <v>2.5661860166753758E-2</v>
      </c>
    </row>
    <row r="463" spans="2:4" x14ac:dyDescent="0.25">
      <c r="B463" s="174">
        <v>449</v>
      </c>
      <c r="C463" s="182">
        <f t="shared" si="6"/>
        <v>52</v>
      </c>
      <c r="D463" s="195">
        <f>IRR($C$14:C463,D462)</f>
        <v>2.5661875257417588E-2</v>
      </c>
    </row>
    <row r="464" spans="2:4" x14ac:dyDescent="0.25">
      <c r="B464" s="174">
        <v>450</v>
      </c>
      <c r="C464" s="182">
        <f t="shared" si="6"/>
        <v>0</v>
      </c>
      <c r="D464" s="195">
        <f>IRR($C$14:C464,D463)</f>
        <v>2.5661875257417588E-2</v>
      </c>
    </row>
    <row r="465" spans="2:4" x14ac:dyDescent="0.25">
      <c r="B465" s="174">
        <v>451</v>
      </c>
      <c r="C465" s="182">
        <f t="shared" ref="C465:C514" si="7">IF(MOD(B465,2)=0,0,52)</f>
        <v>52</v>
      </c>
      <c r="D465" s="195">
        <f>IRR($C$14:C465,D464)</f>
        <v>2.5661889602228038E-2</v>
      </c>
    </row>
    <row r="466" spans="2:4" x14ac:dyDescent="0.25">
      <c r="B466" s="174">
        <v>452</v>
      </c>
      <c r="C466" s="182">
        <f t="shared" si="7"/>
        <v>0</v>
      </c>
      <c r="D466" s="195">
        <f>IRR($C$14:C466,D465)</f>
        <v>2.5661889602228261E-2</v>
      </c>
    </row>
    <row r="467" spans="2:4" x14ac:dyDescent="0.25">
      <c r="B467" s="174">
        <v>453</v>
      </c>
      <c r="C467" s="182">
        <f t="shared" si="7"/>
        <v>52</v>
      </c>
      <c r="D467" s="195">
        <f>IRR($C$14:C467,D466)</f>
        <v>2.5661903238055395E-2</v>
      </c>
    </row>
    <row r="468" spans="2:4" x14ac:dyDescent="0.25">
      <c r="B468" s="174">
        <v>454</v>
      </c>
      <c r="C468" s="182">
        <f t="shared" si="7"/>
        <v>0</v>
      </c>
      <c r="D468" s="195">
        <f>IRR($C$14:C468,D467)</f>
        <v>2.5661903238055617E-2</v>
      </c>
    </row>
    <row r="469" spans="2:4" x14ac:dyDescent="0.25">
      <c r="B469" s="174">
        <v>455</v>
      </c>
      <c r="C469" s="182">
        <f t="shared" si="7"/>
        <v>52</v>
      </c>
      <c r="D469" s="195">
        <f>IRR($C$14:C469,D468)</f>
        <v>2.5661916199946955E-2</v>
      </c>
    </row>
    <row r="470" spans="2:4" x14ac:dyDescent="0.25">
      <c r="B470" s="174">
        <v>456</v>
      </c>
      <c r="C470" s="182">
        <f t="shared" si="7"/>
        <v>0</v>
      </c>
      <c r="D470" s="195">
        <f>IRR($C$14:C470,D469)</f>
        <v>2.5661916199946955E-2</v>
      </c>
    </row>
    <row r="471" spans="2:4" x14ac:dyDescent="0.25">
      <c r="B471" s="174">
        <v>457</v>
      </c>
      <c r="C471" s="182">
        <f t="shared" si="7"/>
        <v>52</v>
      </c>
      <c r="D471" s="195">
        <f>IRR($C$14:C471,D470)</f>
        <v>2.5661928521216959E-2</v>
      </c>
    </row>
    <row r="472" spans="2:4" x14ac:dyDescent="0.25">
      <c r="B472" s="174">
        <v>458</v>
      </c>
      <c r="C472" s="182">
        <f t="shared" si="7"/>
        <v>0</v>
      </c>
      <c r="D472" s="195">
        <f>IRR($C$14:C472,D471)</f>
        <v>2.5661928521216959E-2</v>
      </c>
    </row>
    <row r="473" spans="2:4" x14ac:dyDescent="0.25">
      <c r="B473" s="174">
        <v>459</v>
      </c>
      <c r="C473" s="182">
        <f t="shared" si="7"/>
        <v>52</v>
      </c>
      <c r="D473" s="195">
        <f>IRR($C$14:C473,D472)</f>
        <v>2.5661940233531855E-2</v>
      </c>
    </row>
    <row r="474" spans="2:4" x14ac:dyDescent="0.25">
      <c r="B474" s="174">
        <v>460</v>
      </c>
      <c r="C474" s="182">
        <f t="shared" si="7"/>
        <v>0</v>
      </c>
      <c r="D474" s="195">
        <f>IRR($C$14:C474,D473)</f>
        <v>2.5661940233531855E-2</v>
      </c>
    </row>
    <row r="475" spans="2:4" x14ac:dyDescent="0.25">
      <c r="B475" s="174">
        <v>461</v>
      </c>
      <c r="C475" s="182">
        <f t="shared" si="7"/>
        <v>52</v>
      </c>
      <c r="D475" s="195">
        <f>IRR($C$14:C475,D474)</f>
        <v>2.5661951366993119E-2</v>
      </c>
    </row>
    <row r="476" spans="2:4" x14ac:dyDescent="0.25">
      <c r="B476" s="174">
        <v>462</v>
      </c>
      <c r="C476" s="182">
        <f t="shared" si="7"/>
        <v>0</v>
      </c>
      <c r="D476" s="195">
        <f>IRR($C$14:C476,D475)</f>
        <v>2.5661951366992897E-2</v>
      </c>
    </row>
    <row r="477" spans="2:4" x14ac:dyDescent="0.25">
      <c r="B477" s="174">
        <v>463</v>
      </c>
      <c r="C477" s="182">
        <f t="shared" si="7"/>
        <v>52</v>
      </c>
      <c r="D477" s="195">
        <f>IRR($C$14:C477,D476)</f>
        <v>2.5661961950213197E-2</v>
      </c>
    </row>
    <row r="478" spans="2:4" x14ac:dyDescent="0.25">
      <c r="B478" s="174">
        <v>464</v>
      </c>
      <c r="C478" s="182">
        <f t="shared" si="7"/>
        <v>0</v>
      </c>
      <c r="D478" s="195">
        <f>IRR($C$14:C478,D477)</f>
        <v>2.5661961950212975E-2</v>
      </c>
    </row>
    <row r="479" spans="2:4" x14ac:dyDescent="0.25">
      <c r="B479" s="174">
        <v>465</v>
      </c>
      <c r="C479" s="182">
        <f t="shared" si="7"/>
        <v>52</v>
      </c>
      <c r="D479" s="195">
        <f>IRR($C$14:C479,D478)</f>
        <v>2.5661972010390111E-2</v>
      </c>
    </row>
    <row r="480" spans="2:4" x14ac:dyDescent="0.25">
      <c r="B480" s="174">
        <v>466</v>
      </c>
      <c r="C480" s="182">
        <f t="shared" si="7"/>
        <v>0</v>
      </c>
      <c r="D480" s="195">
        <f>IRR($C$14:C480,D479)</f>
        <v>2.5661972010390111E-2</v>
      </c>
    </row>
    <row r="481" spans="2:4" x14ac:dyDescent="0.25">
      <c r="B481" s="174">
        <v>467</v>
      </c>
      <c r="C481" s="182">
        <f t="shared" si="7"/>
        <v>52</v>
      </c>
      <c r="D481" s="195">
        <f>IRR($C$14:C481,D480)</f>
        <v>2.5661981573377401E-2</v>
      </c>
    </row>
    <row r="482" spans="2:4" x14ac:dyDescent="0.25">
      <c r="B482" s="174">
        <v>468</v>
      </c>
      <c r="C482" s="182">
        <f t="shared" si="7"/>
        <v>0</v>
      </c>
      <c r="D482" s="195">
        <f>IRR($C$14:C482,D481)</f>
        <v>2.5661981573377401E-2</v>
      </c>
    </row>
    <row r="483" spans="2:4" x14ac:dyDescent="0.25">
      <c r="B483" s="174">
        <v>469</v>
      </c>
      <c r="C483" s="182">
        <f t="shared" si="7"/>
        <v>52</v>
      </c>
      <c r="D483" s="195">
        <f>IRR($C$14:C483,D482)</f>
        <v>2.5661990663750078E-2</v>
      </c>
    </row>
    <row r="484" spans="2:4" x14ac:dyDescent="0.25">
      <c r="B484" s="174">
        <v>470</v>
      </c>
      <c r="C484" s="182">
        <f t="shared" si="7"/>
        <v>0</v>
      </c>
      <c r="D484" s="195">
        <f>IRR($C$14:C484,D483)</f>
        <v>2.5661990663750078E-2</v>
      </c>
    </row>
    <row r="485" spans="2:4" x14ac:dyDescent="0.25">
      <c r="B485" s="174">
        <v>471</v>
      </c>
      <c r="C485" s="182">
        <f t="shared" si="7"/>
        <v>52</v>
      </c>
      <c r="D485" s="195">
        <f>IRR($C$14:C485,D484)</f>
        <v>2.5661999304867678E-2</v>
      </c>
    </row>
    <row r="486" spans="2:4" x14ac:dyDescent="0.25">
      <c r="B486" s="174">
        <v>472</v>
      </c>
      <c r="C486" s="182">
        <f t="shared" si="7"/>
        <v>0</v>
      </c>
      <c r="D486" s="195">
        <f>IRR($C$14:C486,D485)</f>
        <v>2.5661999304867678E-2</v>
      </c>
    </row>
    <row r="487" spans="2:4" x14ac:dyDescent="0.25">
      <c r="B487" s="174">
        <v>473</v>
      </c>
      <c r="C487" s="182">
        <f t="shared" si="7"/>
        <v>52</v>
      </c>
      <c r="D487" s="195">
        <f>IRR($C$14:C487,D486)</f>
        <v>2.5662007518936214E-2</v>
      </c>
    </row>
    <row r="488" spans="2:4" x14ac:dyDescent="0.25">
      <c r="B488" s="174">
        <v>474</v>
      </c>
      <c r="C488" s="182">
        <f t="shared" si="7"/>
        <v>0</v>
      </c>
      <c r="D488" s="195">
        <f>IRR($C$14:C488,D487)</f>
        <v>2.5662007518936214E-2</v>
      </c>
    </row>
    <row r="489" spans="2:4" x14ac:dyDescent="0.25">
      <c r="B489" s="174">
        <v>475</v>
      </c>
      <c r="C489" s="182">
        <f t="shared" si="7"/>
        <v>52</v>
      </c>
      <c r="D489" s="195">
        <f>IRR($C$14:C489,D488)</f>
        <v>2.5662015327062804E-2</v>
      </c>
    </row>
    <row r="490" spans="2:4" x14ac:dyDescent="0.25">
      <c r="B490" s="174">
        <v>476</v>
      </c>
      <c r="C490" s="182">
        <f t="shared" si="7"/>
        <v>0</v>
      </c>
      <c r="D490" s="195">
        <f>IRR($C$14:C490,D489)</f>
        <v>2.5662015327062582E-2</v>
      </c>
    </row>
    <row r="491" spans="2:4" x14ac:dyDescent="0.25">
      <c r="B491" s="174">
        <v>477</v>
      </c>
      <c r="C491" s="182">
        <f t="shared" si="7"/>
        <v>52</v>
      </c>
      <c r="D491" s="195">
        <f>IRR($C$14:C491,D490)</f>
        <v>2.5662022749310731E-2</v>
      </c>
    </row>
    <row r="492" spans="2:4" x14ac:dyDescent="0.25">
      <c r="B492" s="174">
        <v>478</v>
      </c>
      <c r="C492" s="182">
        <f t="shared" si="7"/>
        <v>0</v>
      </c>
      <c r="D492" s="195">
        <f>IRR($C$14:C492,D491)</f>
        <v>2.5662022749310731E-2</v>
      </c>
    </row>
    <row r="493" spans="2:4" x14ac:dyDescent="0.25">
      <c r="B493" s="174">
        <v>479</v>
      </c>
      <c r="C493" s="182">
        <f t="shared" si="7"/>
        <v>52</v>
      </c>
      <c r="D493" s="195">
        <f>IRR($C$14:C493,D492)</f>
        <v>2.5662029804753184E-2</v>
      </c>
    </row>
    <row r="494" spans="2:4" x14ac:dyDescent="0.25">
      <c r="B494" s="174">
        <v>480</v>
      </c>
      <c r="C494" s="182">
        <f t="shared" si="7"/>
        <v>0</v>
      </c>
      <c r="D494" s="195">
        <f>IRR($C$14:C494,D493)</f>
        <v>2.5662029804753184E-2</v>
      </c>
    </row>
    <row r="495" spans="2:4" x14ac:dyDescent="0.25">
      <c r="B495" s="174">
        <v>481</v>
      </c>
      <c r="C495" s="182">
        <f t="shared" si="7"/>
        <v>52</v>
      </c>
      <c r="D495" s="195">
        <f>IRR($C$14:C495,D494)</f>
        <v>2.5662036511518549E-2</v>
      </c>
    </row>
    <row r="496" spans="2:4" x14ac:dyDescent="0.25">
      <c r="B496" s="174">
        <v>482</v>
      </c>
      <c r="C496" s="182">
        <f t="shared" si="7"/>
        <v>0</v>
      </c>
      <c r="D496" s="195">
        <f>IRR($C$14:C496,D495)</f>
        <v>2.5662036511518549E-2</v>
      </c>
    </row>
    <row r="497" spans="2:4" x14ac:dyDescent="0.25">
      <c r="B497" s="174">
        <v>483</v>
      </c>
      <c r="C497" s="182">
        <f t="shared" si="7"/>
        <v>52</v>
      </c>
      <c r="D497" s="195">
        <f>IRR($C$14:C497,D496)</f>
        <v>2.5662042886840153E-2</v>
      </c>
    </row>
    <row r="498" spans="2:4" x14ac:dyDescent="0.25">
      <c r="B498" s="174">
        <v>484</v>
      </c>
      <c r="C498" s="182">
        <f t="shared" si="7"/>
        <v>0</v>
      </c>
      <c r="D498" s="195">
        <f>IRR($C$14:C498,D497)</f>
        <v>2.5662042886840153E-2</v>
      </c>
    </row>
    <row r="499" spans="2:4" x14ac:dyDescent="0.25">
      <c r="B499" s="174">
        <v>485</v>
      </c>
      <c r="C499" s="182">
        <f t="shared" si="7"/>
        <v>52</v>
      </c>
      <c r="D499" s="195">
        <f>IRR($C$14:C499,D498)</f>
        <v>2.5662048947099558E-2</v>
      </c>
    </row>
    <row r="500" spans="2:4" x14ac:dyDescent="0.25">
      <c r="B500" s="174">
        <v>486</v>
      </c>
      <c r="C500" s="182">
        <f t="shared" si="7"/>
        <v>0</v>
      </c>
      <c r="D500" s="195">
        <f>IRR($C$14:C500,D499)</f>
        <v>2.5662048947099558E-2</v>
      </c>
    </row>
    <row r="501" spans="2:4" x14ac:dyDescent="0.25">
      <c r="B501" s="174">
        <v>487</v>
      </c>
      <c r="C501" s="182">
        <f t="shared" si="7"/>
        <v>52</v>
      </c>
      <c r="D501" s="195">
        <f>IRR($C$14:C501,D500)</f>
        <v>2.5662054707867865E-2</v>
      </c>
    </row>
    <row r="502" spans="2:4" x14ac:dyDescent="0.25">
      <c r="B502" s="174">
        <v>488</v>
      </c>
      <c r="C502" s="182">
        <f t="shared" si="7"/>
        <v>0</v>
      </c>
      <c r="D502" s="195">
        <f>IRR($C$14:C502,D501)</f>
        <v>2.5662054707867865E-2</v>
      </c>
    </row>
    <row r="503" spans="2:4" x14ac:dyDescent="0.25">
      <c r="B503" s="174">
        <v>489</v>
      </c>
      <c r="C503" s="182">
        <f t="shared" si="7"/>
        <v>52</v>
      </c>
      <c r="D503" s="195">
        <f>IRR($C$14:C503,D502)</f>
        <v>2.5662060183946789E-2</v>
      </c>
    </row>
    <row r="504" spans="2:4" x14ac:dyDescent="0.25">
      <c r="B504" s="174">
        <v>490</v>
      </c>
      <c r="C504" s="182">
        <f t="shared" si="7"/>
        <v>0</v>
      </c>
      <c r="D504" s="195">
        <f>IRR($C$14:C504,D503)</f>
        <v>2.5662060183946789E-2</v>
      </c>
    </row>
    <row r="505" spans="2:4" x14ac:dyDescent="0.25">
      <c r="B505" s="174">
        <v>491</v>
      </c>
      <c r="C505" s="182">
        <f t="shared" si="7"/>
        <v>52</v>
      </c>
      <c r="D505" s="195">
        <f>IRR($C$14:C505,D504)</f>
        <v>2.5662065389406186E-2</v>
      </c>
    </row>
    <row r="506" spans="2:4" x14ac:dyDescent="0.25">
      <c r="B506" s="174">
        <v>492</v>
      </c>
      <c r="C506" s="182">
        <f t="shared" si="7"/>
        <v>0</v>
      </c>
      <c r="D506" s="195">
        <f>IRR($C$14:C506,D505)</f>
        <v>2.5662065389405964E-2</v>
      </c>
    </row>
    <row r="507" spans="2:4" x14ac:dyDescent="0.25">
      <c r="B507" s="174">
        <v>493</v>
      </c>
      <c r="C507" s="182">
        <f t="shared" si="7"/>
        <v>52</v>
      </c>
      <c r="D507" s="195">
        <f>IRR($C$14:C507,D506)</f>
        <v>2.5662070337620912E-2</v>
      </c>
    </row>
    <row r="508" spans="2:4" x14ac:dyDescent="0.25">
      <c r="B508" s="174">
        <v>494</v>
      </c>
      <c r="C508" s="182">
        <f t="shared" si="7"/>
        <v>0</v>
      </c>
      <c r="D508" s="195">
        <f>IRR($C$14:C508,D507)</f>
        <v>2.5662070337620912E-2</v>
      </c>
    </row>
    <row r="509" spans="2:4" x14ac:dyDescent="0.25">
      <c r="B509" s="174">
        <v>495</v>
      </c>
      <c r="C509" s="182">
        <f t="shared" si="7"/>
        <v>52</v>
      </c>
      <c r="D509" s="195">
        <f>IRR($C$14:C509,D508)</f>
        <v>2.5662075041304577E-2</v>
      </c>
    </row>
    <row r="510" spans="2:4" x14ac:dyDescent="0.25">
      <c r="B510" s="174">
        <v>496</v>
      </c>
      <c r="C510" s="182">
        <f t="shared" si="7"/>
        <v>0</v>
      </c>
      <c r="D510" s="195">
        <f>IRR($C$14:C510,D509)</f>
        <v>2.5662075041304355E-2</v>
      </c>
    </row>
    <row r="511" spans="2:4" x14ac:dyDescent="0.25">
      <c r="B511" s="174">
        <v>497</v>
      </c>
      <c r="C511" s="182">
        <f t="shared" si="7"/>
        <v>52</v>
      </c>
      <c r="D511" s="195">
        <f>IRR($C$14:C511,D510)</f>
        <v>2.5662079512541958E-2</v>
      </c>
    </row>
    <row r="512" spans="2:4" x14ac:dyDescent="0.25">
      <c r="B512" s="174">
        <v>498</v>
      </c>
      <c r="C512" s="182">
        <f t="shared" si="7"/>
        <v>0</v>
      </c>
      <c r="D512" s="195">
        <f>IRR($C$14:C512,D511)</f>
        <v>2.5662079512541958E-2</v>
      </c>
    </row>
    <row r="513" spans="2:4" x14ac:dyDescent="0.25">
      <c r="B513" s="174">
        <v>499</v>
      </c>
      <c r="C513" s="182">
        <f t="shared" si="7"/>
        <v>52</v>
      </c>
      <c r="D513" s="195">
        <f>IRR($C$14:C513,D512)</f>
        <v>2.5662083762820753E-2</v>
      </c>
    </row>
    <row r="514" spans="2:4" ht="13.8" thickBot="1" x14ac:dyDescent="0.3">
      <c r="B514" s="170">
        <v>500</v>
      </c>
      <c r="C514" s="196">
        <f t="shared" si="7"/>
        <v>0</v>
      </c>
      <c r="D514" s="197">
        <f>IRR($C$14:C514,D513)</f>
        <v>2.5662083762820975E-2</v>
      </c>
    </row>
  </sheetData>
  <mergeCells count="5">
    <mergeCell ref="L13:M13"/>
    <mergeCell ref="B2:C2"/>
    <mergeCell ref="B6:I10"/>
    <mergeCell ref="F13:G13"/>
    <mergeCell ref="I13:J13"/>
  </mergeCells>
  <phoneticPr fontId="4" type="noConversion"/>
  <printOptions headings="1"/>
  <pageMargins left="0.75" right="0.75" top="0.44" bottom="0.49" header="0" footer="0"/>
  <pageSetup paperSize="9" scale="87" orientation="landscape" verticalDpi="0" r:id="rId1"/>
  <headerFooter alignWithMargins="0">
    <oddFooter>&amp;L&amp;A&amp;C&amp;"Arial,Negrita"www.excelavanzado.com &amp;R&amp;D</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57"/>
  <sheetViews>
    <sheetView showGridLines="0" workbookViewId="0">
      <selection activeCell="D62" sqref="D62"/>
    </sheetView>
  </sheetViews>
  <sheetFormatPr baseColWidth="10" defaultRowHeight="13.2" x14ac:dyDescent="0.25"/>
  <cols>
    <col min="1" max="1" width="2.5546875" customWidth="1"/>
    <col min="2" max="2" width="12.88671875" bestFit="1" customWidth="1"/>
    <col min="3" max="3" width="15.5546875" bestFit="1" customWidth="1"/>
    <col min="4" max="4" width="13.33203125" customWidth="1"/>
    <col min="5" max="5" width="15.5546875" bestFit="1" customWidth="1"/>
    <col min="6" max="6" width="12" bestFit="1" customWidth="1"/>
    <col min="8" max="8" width="7" customWidth="1"/>
    <col min="9" max="9" width="8" customWidth="1"/>
  </cols>
  <sheetData>
    <row r="1" spans="1:9" ht="13.8" thickBot="1" x14ac:dyDescent="0.3">
      <c r="A1" s="141"/>
    </row>
    <row r="2" spans="1:9" ht="21" customHeight="1" thickBot="1" x14ac:dyDescent="0.3">
      <c r="B2" s="275" t="str">
        <f ca="1">RIGHT(CELL("nombrearchivo",A1),LEN(CELL("nombrearchivo",A1))-FIND("]",CELL("nombrearchivo",A1)))</f>
        <v>Bono15</v>
      </c>
      <c r="C2" s="276"/>
      <c r="H2" s="180"/>
    </row>
    <row r="3" spans="1:9" x14ac:dyDescent="0.25">
      <c r="H3" s="180"/>
    </row>
    <row r="4" spans="1:9" ht="18.75" customHeight="1" x14ac:dyDescent="0.3">
      <c r="B4" s="148" t="s">
        <v>114</v>
      </c>
    </row>
    <row r="5" spans="1:9" ht="13.8" thickBot="1" x14ac:dyDescent="0.3"/>
    <row r="6" spans="1:9" x14ac:dyDescent="0.25">
      <c r="B6" s="260" t="s">
        <v>115</v>
      </c>
      <c r="C6" s="339"/>
      <c r="D6" s="339"/>
      <c r="E6" s="339"/>
      <c r="F6" s="339"/>
      <c r="G6" s="339"/>
      <c r="H6" s="339"/>
      <c r="I6" s="340"/>
    </row>
    <row r="7" spans="1:9" x14ac:dyDescent="0.25">
      <c r="B7" s="341"/>
      <c r="C7" s="342"/>
      <c r="D7" s="342"/>
      <c r="E7" s="342"/>
      <c r="F7" s="342"/>
      <c r="G7" s="342"/>
      <c r="H7" s="342"/>
      <c r="I7" s="343"/>
    </row>
    <row r="8" spans="1:9" x14ac:dyDescent="0.25">
      <c r="B8" s="341"/>
      <c r="C8" s="342"/>
      <c r="D8" s="342"/>
      <c r="E8" s="342"/>
      <c r="F8" s="342"/>
      <c r="G8" s="342"/>
      <c r="H8" s="342"/>
      <c r="I8" s="343"/>
    </row>
    <row r="9" spans="1:9" x14ac:dyDescent="0.25">
      <c r="B9" s="198" t="s">
        <v>116</v>
      </c>
      <c r="C9" s="332" t="s">
        <v>117</v>
      </c>
      <c r="D9" s="332"/>
      <c r="E9" s="332"/>
      <c r="F9" s="332"/>
      <c r="G9" s="332"/>
      <c r="H9" s="332"/>
      <c r="I9" s="333"/>
    </row>
    <row r="10" spans="1:9" x14ac:dyDescent="0.25">
      <c r="B10" s="198"/>
      <c r="C10" s="332"/>
      <c r="D10" s="332"/>
      <c r="E10" s="332"/>
      <c r="F10" s="332"/>
      <c r="G10" s="332"/>
      <c r="H10" s="332"/>
      <c r="I10" s="333"/>
    </row>
    <row r="11" spans="1:9" x14ac:dyDescent="0.25">
      <c r="B11" s="198" t="s">
        <v>118</v>
      </c>
      <c r="C11" s="332" t="s">
        <v>139</v>
      </c>
      <c r="D11" s="332"/>
      <c r="E11" s="332"/>
      <c r="F11" s="332"/>
      <c r="G11" s="332"/>
      <c r="H11" s="332"/>
      <c r="I11" s="333"/>
    </row>
    <row r="12" spans="1:9" x14ac:dyDescent="0.25">
      <c r="B12" s="198"/>
      <c r="C12" s="332"/>
      <c r="D12" s="332"/>
      <c r="E12" s="332"/>
      <c r="F12" s="332"/>
      <c r="G12" s="332"/>
      <c r="H12" s="332"/>
      <c r="I12" s="333"/>
    </row>
    <row r="13" spans="1:9" x14ac:dyDescent="0.25">
      <c r="B13" s="198"/>
      <c r="C13" s="332"/>
      <c r="D13" s="332"/>
      <c r="E13" s="332"/>
      <c r="F13" s="332"/>
      <c r="G13" s="332"/>
      <c r="H13" s="332"/>
      <c r="I13" s="333"/>
    </row>
    <row r="14" spans="1:9" x14ac:dyDescent="0.25">
      <c r="B14" s="198"/>
      <c r="C14" s="332"/>
      <c r="D14" s="332"/>
      <c r="E14" s="332"/>
      <c r="F14" s="332"/>
      <c r="G14" s="332"/>
      <c r="H14" s="332"/>
      <c r="I14" s="333"/>
    </row>
    <row r="15" spans="1:9" x14ac:dyDescent="0.25">
      <c r="B15" s="331" t="s">
        <v>140</v>
      </c>
      <c r="C15" s="332"/>
      <c r="D15" s="332"/>
      <c r="E15" s="332"/>
      <c r="F15" s="332"/>
      <c r="G15" s="332"/>
      <c r="H15" s="332"/>
      <c r="I15" s="333"/>
    </row>
    <row r="16" spans="1:9" ht="13.8" thickBot="1" x14ac:dyDescent="0.3">
      <c r="B16" s="334"/>
      <c r="C16" s="335"/>
      <c r="D16" s="335"/>
      <c r="E16" s="335"/>
      <c r="F16" s="335"/>
      <c r="G16" s="335"/>
      <c r="H16" s="335"/>
      <c r="I16" s="336"/>
    </row>
    <row r="20" spans="2:7" ht="13.8" thickBot="1" x14ac:dyDescent="0.3"/>
    <row r="21" spans="2:7" ht="18" thickBot="1" x14ac:dyDescent="0.35">
      <c r="B21" s="337" t="s">
        <v>116</v>
      </c>
      <c r="C21" s="338"/>
      <c r="D21" s="199"/>
      <c r="E21" s="199"/>
      <c r="F21" s="199"/>
      <c r="G21" s="199"/>
    </row>
    <row r="23" spans="2:7" x14ac:dyDescent="0.25">
      <c r="B23" s="200" t="s">
        <v>1</v>
      </c>
      <c r="C23" s="200" t="s">
        <v>119</v>
      </c>
    </row>
    <row r="24" spans="2:7" x14ac:dyDescent="0.25">
      <c r="B24" s="182">
        <v>0</v>
      </c>
      <c r="C24" s="201" t="s">
        <v>120</v>
      </c>
    </row>
    <row r="25" spans="2:7" x14ac:dyDescent="0.25">
      <c r="B25" s="182">
        <v>1</v>
      </c>
      <c r="C25" s="202">
        <v>88037.15</v>
      </c>
    </row>
    <row r="26" spans="2:7" x14ac:dyDescent="0.25">
      <c r="B26" s="182">
        <v>2</v>
      </c>
      <c r="C26" s="202"/>
      <c r="E26" s="201" t="s">
        <v>121</v>
      </c>
      <c r="F26" s="203">
        <f>C27</f>
        <v>99479.25</v>
      </c>
    </row>
    <row r="27" spans="2:7" x14ac:dyDescent="0.25">
      <c r="B27" s="182">
        <v>3</v>
      </c>
      <c r="C27" s="202">
        <v>99479.25</v>
      </c>
    </row>
    <row r="29" spans="2:7" ht="15.6" x14ac:dyDescent="0.25">
      <c r="B29" t="s">
        <v>122</v>
      </c>
      <c r="D29" t="s">
        <v>141</v>
      </c>
      <c r="F29" s="204" t="s">
        <v>123</v>
      </c>
      <c r="G29" s="205">
        <f>(C27/C25)^(1/2)-1</f>
        <v>6.299999813882784E-2</v>
      </c>
    </row>
    <row r="30" spans="2:7" ht="15.6" x14ac:dyDescent="0.25">
      <c r="B30" t="s">
        <v>142</v>
      </c>
    </row>
    <row r="31" spans="2:7" x14ac:dyDescent="0.25">
      <c r="C31" s="206"/>
    </row>
    <row r="33" spans="2:6" x14ac:dyDescent="0.25">
      <c r="B33" s="201" t="s">
        <v>124</v>
      </c>
      <c r="C33" s="202">
        <f>C25/(1+G29)</f>
        <v>82819.520370782106</v>
      </c>
    </row>
    <row r="34" spans="2:6" x14ac:dyDescent="0.25">
      <c r="D34" s="201" t="s">
        <v>125</v>
      </c>
      <c r="E34" s="207">
        <f>C33+C35</f>
        <v>201133.12090047082</v>
      </c>
    </row>
    <row r="35" spans="2:6" x14ac:dyDescent="0.25">
      <c r="B35" s="201" t="s">
        <v>126</v>
      </c>
      <c r="C35" s="207">
        <f>C33/0.7</f>
        <v>118313.60052968873</v>
      </c>
    </row>
    <row r="36" spans="2:6" ht="13.8" thickBot="1" x14ac:dyDescent="0.3"/>
    <row r="37" spans="2:6" ht="18" thickBot="1" x14ac:dyDescent="0.35">
      <c r="B37" s="337" t="s">
        <v>118</v>
      </c>
      <c r="C37" s="338"/>
    </row>
    <row r="38" spans="2:6" x14ac:dyDescent="0.25">
      <c r="B38" t="s">
        <v>127</v>
      </c>
    </row>
    <row r="39" spans="2:6" x14ac:dyDescent="0.25">
      <c r="B39" s="200" t="s">
        <v>12</v>
      </c>
      <c r="C39" s="200" t="s">
        <v>2</v>
      </c>
    </row>
    <row r="40" spans="2:6" x14ac:dyDescent="0.25">
      <c r="B40" s="182">
        <v>0</v>
      </c>
      <c r="C40" s="201" t="str">
        <f>"-E"</f>
        <v>-E</v>
      </c>
    </row>
    <row r="41" spans="2:6" x14ac:dyDescent="0.25">
      <c r="B41" s="182">
        <v>1</v>
      </c>
      <c r="C41" s="208">
        <v>16.53</v>
      </c>
      <c r="E41" s="201" t="s">
        <v>128</v>
      </c>
      <c r="F41" s="209">
        <f>(1+0.02)^(1/2)-1</f>
        <v>9.9504938362078299E-3</v>
      </c>
    </row>
    <row r="42" spans="2:6" x14ac:dyDescent="0.25">
      <c r="B42" s="182">
        <v>2</v>
      </c>
      <c r="C42" s="182">
        <f>+$C$41</f>
        <v>16.53</v>
      </c>
    </row>
    <row r="43" spans="2:6" x14ac:dyDescent="0.25">
      <c r="B43" s="182">
        <v>3</v>
      </c>
      <c r="C43" s="182">
        <f>+$C$41</f>
        <v>16.53</v>
      </c>
      <c r="E43" s="204"/>
      <c r="F43" s="210"/>
    </row>
    <row r="44" spans="2:6" x14ac:dyDescent="0.25">
      <c r="B44" s="182">
        <v>4</v>
      </c>
      <c r="C44" s="182">
        <f>+$C$41</f>
        <v>16.53</v>
      </c>
      <c r="E44" s="182" t="s">
        <v>129</v>
      </c>
      <c r="F44" s="211">
        <f>-FV(F41,6,C41)+350</f>
        <v>451.68020368178907</v>
      </c>
    </row>
    <row r="45" spans="2:6" x14ac:dyDescent="0.25">
      <c r="B45" s="182">
        <v>5</v>
      </c>
      <c r="C45" s="182">
        <f>+$C$41</f>
        <v>16.53</v>
      </c>
    </row>
    <row r="46" spans="2:6" x14ac:dyDescent="0.25">
      <c r="B46" s="182">
        <v>6</v>
      </c>
      <c r="C46" s="182">
        <f>+$C$41+350</f>
        <v>366.53</v>
      </c>
    </row>
    <row r="48" spans="2:6" ht="13.8" thickBot="1" x14ac:dyDescent="0.3"/>
    <row r="49" spans="2:5" ht="18" thickBot="1" x14ac:dyDescent="0.35">
      <c r="B49" s="337" t="s">
        <v>130</v>
      </c>
      <c r="C49" s="338"/>
    </row>
    <row r="51" spans="2:5" x14ac:dyDescent="0.25">
      <c r="C51" s="328" t="s">
        <v>131</v>
      </c>
      <c r="D51" s="329"/>
      <c r="E51" s="330"/>
    </row>
    <row r="53" spans="2:5" x14ac:dyDescent="0.25">
      <c r="C53" s="328" t="s">
        <v>132</v>
      </c>
      <c r="D53" s="329"/>
      <c r="E53" s="330"/>
    </row>
    <row r="54" spans="2:5" x14ac:dyDescent="0.25">
      <c r="C54" s="200" t="s">
        <v>133</v>
      </c>
      <c r="D54" s="202">
        <f>+E34*(1+0.043)^3</f>
        <v>228210.97040930984</v>
      </c>
      <c r="E54" s="182"/>
    </row>
    <row r="55" spans="2:5" x14ac:dyDescent="0.25">
      <c r="C55" s="182" t="s">
        <v>134</v>
      </c>
      <c r="D55" s="207">
        <f>+D54-C27</f>
        <v>128731.72040930984</v>
      </c>
      <c r="E55" s="182"/>
    </row>
    <row r="56" spans="2:5" x14ac:dyDescent="0.25">
      <c r="C56" s="182" t="s">
        <v>135</v>
      </c>
      <c r="D56" s="212">
        <f>+D55/F44</f>
        <v>285.00633713848123</v>
      </c>
      <c r="E56" s="182" t="s">
        <v>136</v>
      </c>
    </row>
    <row r="57" spans="2:5" x14ac:dyDescent="0.25">
      <c r="C57" s="200" t="s">
        <v>137</v>
      </c>
      <c r="D57" s="213">
        <f>ROUND(D56,0)</f>
        <v>285</v>
      </c>
      <c r="E57" s="182" t="s">
        <v>136</v>
      </c>
    </row>
  </sheetData>
  <mergeCells count="10">
    <mergeCell ref="B2:C2"/>
    <mergeCell ref="B6:I8"/>
    <mergeCell ref="C9:I10"/>
    <mergeCell ref="C11:I14"/>
    <mergeCell ref="C51:E51"/>
    <mergeCell ref="C53:E53"/>
    <mergeCell ref="B15:I16"/>
    <mergeCell ref="B21:C21"/>
    <mergeCell ref="B37:C37"/>
    <mergeCell ref="B49:C49"/>
  </mergeCells>
  <phoneticPr fontId="4" type="noConversion"/>
  <printOptions headings="1"/>
  <pageMargins left="0.75" right="0.75" top="0.4" bottom="0.32" header="0" footer="0"/>
  <pageSetup paperSize="9" scale="71" orientation="landscape" verticalDpi="0" r:id="rId1"/>
  <headerFooter alignWithMargins="0">
    <oddFooter>&amp;L&amp;A&amp;C&amp;"Arial,Negrita"www.excelavanzado.com &amp;R&amp;D</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14</vt:i4>
      </vt:variant>
    </vt:vector>
  </HeadingPairs>
  <TitlesOfParts>
    <vt:vector size="29" baseType="lpstr">
      <vt:lpstr>Bono1</vt:lpstr>
      <vt:lpstr>Bono2</vt:lpstr>
      <vt:lpstr>Bono3</vt:lpstr>
      <vt:lpstr>Bono4</vt:lpstr>
      <vt:lpstr>Bono5</vt:lpstr>
      <vt:lpstr>Bono6</vt:lpstr>
      <vt:lpstr>Bono7</vt:lpstr>
      <vt:lpstr>Bono8</vt:lpstr>
      <vt:lpstr>Bono9</vt:lpstr>
      <vt:lpstr>Bono10</vt:lpstr>
      <vt:lpstr>Bono11</vt:lpstr>
      <vt:lpstr>Bono12</vt:lpstr>
      <vt:lpstr>Bono13</vt:lpstr>
      <vt:lpstr>Bono14</vt:lpstr>
      <vt:lpstr>Bono15</vt:lpstr>
      <vt:lpstr>Bono1!Área_de_impresión</vt:lpstr>
      <vt:lpstr>Bono10!Área_de_impresión</vt:lpstr>
      <vt:lpstr>Bono11!Área_de_impresión</vt:lpstr>
      <vt:lpstr>Bono12!Área_de_impresión</vt:lpstr>
      <vt:lpstr>Bono13!Área_de_impresión</vt:lpstr>
      <vt:lpstr>Bono14!Área_de_impresión</vt:lpstr>
      <vt:lpstr>Bono15!Área_de_impresión</vt:lpstr>
      <vt:lpstr>Bono2!Área_de_impresión</vt:lpstr>
      <vt:lpstr>Bono3!Área_de_impresión</vt:lpstr>
      <vt:lpstr>Bono4!Área_de_impresión</vt:lpstr>
      <vt:lpstr>Bono5!Área_de_impresión</vt:lpstr>
      <vt:lpstr>Bono6!Área_de_impresión</vt:lpstr>
      <vt:lpstr>Bono7!Área_de_impresión</vt:lpstr>
      <vt:lpstr>Bono9!Área_de_impresión</vt:lpstr>
    </vt:vector>
  </TitlesOfParts>
  <Company>www.excelavanzado.com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Adolfo Aparicio</dc:creator>
  <cp:lastModifiedBy>JUAN FRANCISCO RAMOS CHAVEZ</cp:lastModifiedBy>
  <cp:lastPrinted>2026-03-24T03:21:49Z</cp:lastPrinted>
  <dcterms:created xsi:type="dcterms:W3CDTF">2003-10-17T13:41:29Z</dcterms:created>
  <dcterms:modified xsi:type="dcterms:W3CDTF">2026-03-24T03:22:43Z</dcterms:modified>
</cp:coreProperties>
</file>